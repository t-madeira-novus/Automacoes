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wsSortMap1.xml" ContentType="application/vnd.ms-excel.wsSortMap+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368.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17.xml" ContentType="application/vnd.openxmlformats-officedocument.spreadsheetml.revisionLog+xml"/>
  <Override PartName="/xl/revisions/revisionLog277.xml" ContentType="application/vnd.openxmlformats-officedocument.spreadsheetml.revisionLog+xml"/>
  <Override PartName="/xl/revisions/revisionLog281.xml" ContentType="application/vnd.openxmlformats-officedocument.spreadsheetml.revisionLog+xml"/>
  <Override PartName="/xl/revisions/revisionLog42.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135.xml" ContentType="application/vnd.openxmlformats-officedocument.spreadsheetml.revisionLog+xml"/>
  <Override PartName="/xl/revisions/revisionLog4.xml" ContentType="application/vnd.openxmlformats-officedocument.spreadsheetml.revisionLog+xml"/>
  <Override PartName="/xl/revisions/revisionLog302.xml" ContentType="application/vnd.openxmlformats-officedocument.spreadsheetml.revisionLog+xml"/>
  <Override PartName="/xl/revisions/revisionLog323.xml" ContentType="application/vnd.openxmlformats-officedocument.spreadsheetml.revisionLog+xml"/>
  <Override PartName="/xl/revisions/revisionLog344.xml" ContentType="application/vnd.openxmlformats-officedocument.spreadsheetml.revisionLog+xml"/>
  <Override PartName="/xl/revisions/revisionLog365.xml" ContentType="application/vnd.openxmlformats-officedocument.spreadsheetml.revisionLog+xml"/>
  <Override PartName="/xl/revisions/revisionLog160.xml" ContentType="application/vnd.openxmlformats-officedocument.spreadsheetml.revisionLog+xml"/>
  <Override PartName="/xl/revisions/revisionLog21.xml" ContentType="application/vnd.openxmlformats-officedocument.spreadsheetml.revisionLog+xml"/>
  <Override PartName="/xl/revisions/revisionLog183.xml" ContentType="application/vnd.openxmlformats-officedocument.spreadsheetml.revisionLog+xml"/>
  <Override PartName="/xl/revisions/revisionLog204.xml" ContentType="application/vnd.openxmlformats-officedocument.spreadsheetml.revisionLog+xml"/>
  <Override PartName="/xl/revisions/revisionLog225.xml" ContentType="application/vnd.openxmlformats-officedocument.spreadsheetml.revisionLog+xml"/>
  <Override PartName="/xl/revisions/revisionLog107.xml" ContentType="application/vnd.openxmlformats-officedocument.spreadsheetml.revisionLog+xml"/>
  <Override PartName="/xl/revisions/revisionLog246.xml" ContentType="application/vnd.openxmlformats-officedocument.spreadsheetml.revisionLog+xml"/>
  <Override PartName="/xl/revisions/revisionLog267.xml" ContentType="application/vnd.openxmlformats-officedocument.spreadsheetml.revisionLog+xml"/>
  <Override PartName="/xl/revisions/revisionLog146.xml" ContentType="application/vnd.openxmlformats-officedocument.spreadsheetml.revisionLog+xml"/>
  <Override PartName="/xl/revisions/revisionLog32.xml" ContentType="application/vnd.openxmlformats-officedocument.spreadsheetml.revisionLog+xml"/>
  <Override PartName="/xl/revisions/revisionLog53.xml" ContentType="application/vnd.openxmlformats-officedocument.spreadsheetml.revisionLog+xml"/>
  <Override PartName="/xl/revisions/revisionLog74.xml" ContentType="application/vnd.openxmlformats-officedocument.spreadsheetml.revisionLog+xml"/>
  <Override PartName="/xl/revisions/revisionLog125.xml" ContentType="application/vnd.openxmlformats-officedocument.spreadsheetml.revisionLog+xml"/>
  <Override PartName="/xl/revisions/revisionLog292.xml" ContentType="application/vnd.openxmlformats-officedocument.spreadsheetml.revisionLog+xml"/>
  <Override PartName="/xl/revisions/revisionLog313.xml" ContentType="application/vnd.openxmlformats-officedocument.spreadsheetml.revisionLog+xml"/>
  <Override PartName="/xl/revisions/revisionLog334.xml" ContentType="application/vnd.openxmlformats-officedocument.spreadsheetml.revisionLog+xml"/>
  <Override PartName="/xl/revisions/revisionLog355.xml" ContentType="application/vnd.openxmlformats-officedocument.spreadsheetml.revisionLog+xml"/>
  <Override PartName="/xl/revisions/revisionLog95.xml" ContentType="application/vnd.openxmlformats-officedocument.spreadsheetml.revisionLog+xml"/>
  <Override PartName="/xl/revisions/revisionLog5.xml" ContentType="application/vnd.openxmlformats-officedocument.spreadsheetml.revisionLog+xml"/>
  <Override PartName="/xl/revisions/revisionLog11.xml" ContentType="application/vnd.openxmlformats-officedocument.spreadsheetml.revisionLog+xml"/>
  <Override PartName="/xl/revisions/revisionLog194.xml" ContentType="application/vnd.openxmlformats-officedocument.spreadsheetml.revisionLog+xml"/>
  <Override PartName="/xl/revisions/revisionLog215.xml" ContentType="application/vnd.openxmlformats-officedocument.spreadsheetml.revisionLog+xml"/>
  <Override PartName="/xl/revisions/revisionLog236.xml" ContentType="application/vnd.openxmlformats-officedocument.spreadsheetml.revisionLog+xml"/>
  <Override PartName="/xl/revisions/revisionLog257.xml" ContentType="application/vnd.openxmlformats-officedocument.spreadsheetml.revisionLog+xml"/>
  <Override PartName="/xl/revisions/revisionLog136.xml" ContentType="application/vnd.openxmlformats-officedocument.spreadsheetml.revisionLog+xml"/>
  <Override PartName="/xl/revisions/revisionLog43.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268.xml" ContentType="application/vnd.openxmlformats-officedocument.spreadsheetml.revisionLog+xml"/>
  <Override PartName="/xl/revisions/revisionLog282.xml" ContentType="application/vnd.openxmlformats-officedocument.spreadsheetml.revisionLog+xml"/>
  <Override PartName="/xl/revisions/revisionLog303.xml" ContentType="application/vnd.openxmlformats-officedocument.spreadsheetml.revisionLog+xml"/>
  <Override PartName="/xl/revisions/revisionLog324.xml" ContentType="application/vnd.openxmlformats-officedocument.spreadsheetml.revisionLog+xml"/>
  <Override PartName="/xl/revisions/revisionLog345.xml" ContentType="application/vnd.openxmlformats-officedocument.spreadsheetml.revisionLog+xml"/>
  <Override PartName="/xl/revisions/revisionLog366.xml" ContentType="application/vnd.openxmlformats-officedocument.spreadsheetml.revisionLog+xml"/>
  <Override PartName="/xl/revisions/revisionLog85.xml" ContentType="application/vnd.openxmlformats-officedocument.spreadsheetml.revisionLog+xml"/>
  <Override PartName="/xl/revisions/revisionLog147.xml" ContentType="application/vnd.openxmlformats-officedocument.spreadsheetml.revisionLog+xml"/>
  <Override PartName="/xl/revisions/revisionLog161.xml" ContentType="application/vnd.openxmlformats-officedocument.spreadsheetml.revisionLog+xml"/>
  <Override PartName="/xl/revisions/revisionLog22.xml" ContentType="application/vnd.openxmlformats-officedocument.spreadsheetml.revisionLog+xml"/>
  <Override PartName="/xl/revisions/revisionLog184.xml" ContentType="application/vnd.openxmlformats-officedocument.spreadsheetml.revisionLog+xml"/>
  <Override PartName="/xl/revisions/revisionLog205.xml" ContentType="application/vnd.openxmlformats-officedocument.spreadsheetml.revisionLog+xml"/>
  <Override PartName="/xl/revisions/revisionLog226.xml" ContentType="application/vnd.openxmlformats-officedocument.spreadsheetml.revisionLog+xml"/>
  <Override PartName="/xl/revisions/revisionLog247.xml" ContentType="application/vnd.openxmlformats-officedocument.spreadsheetml.revisionLog+xml"/>
  <Override PartName="/xl/revisions/revisionLog126.xml" ContentType="application/vnd.openxmlformats-officedocument.spreadsheetml.revisionLog+xml"/>
  <Override PartName="/xl/revisions/revisionLog33.xml" ContentType="application/vnd.openxmlformats-officedocument.spreadsheetml.revisionLog+xml"/>
  <Override PartName="/xl/revisions/revisionLog108.xml" ContentType="application/vnd.openxmlformats-officedocument.spreadsheetml.revisionLog+xml"/>
  <Override PartName="/xl/revisions/revisionLog258.xml" ContentType="application/vnd.openxmlformats-officedocument.spreadsheetml.revisionLog+xml"/>
  <Override PartName="/xl/revisions/revisionLog293.xml" ContentType="application/vnd.openxmlformats-officedocument.spreadsheetml.revisionLog+xml"/>
  <Override PartName="/xl/revisions/revisionLog314.xml" ContentType="application/vnd.openxmlformats-officedocument.spreadsheetml.revisionLog+xml"/>
  <Override PartName="/xl/revisions/revisionLog335.xml" ContentType="application/vnd.openxmlformats-officedocument.spreadsheetml.revisionLog+xml"/>
  <Override PartName="/xl/revisions/revisionLog54.xml" ContentType="application/vnd.openxmlformats-officedocument.spreadsheetml.revisionLog+xml"/>
  <Override PartName="/xl/revisions/revisionLog75.xml" ContentType="application/vnd.openxmlformats-officedocument.spreadsheetml.revisionLog+xml"/>
  <Override PartName="/xl/revisions/revisionLog96.xml" ContentType="application/vnd.openxmlformats-officedocument.spreadsheetml.revisionLog+xml"/>
  <Override PartName="/xl/revisions/revisionLog137.xml" ContentType="application/vnd.openxmlformats-officedocument.spreadsheetml.revisionLog+xml"/>
  <Override PartName="/xl/revisions/revisionLog6.xml" ContentType="application/vnd.openxmlformats-officedocument.spreadsheetml.revisionLog+xml"/>
  <Override PartName="/xl/revisions/revisionLog12.xml" ContentType="application/vnd.openxmlformats-officedocument.spreadsheetml.revisionLog+xml"/>
  <Override PartName="/xl/revisions/revisionLog195.xml" ContentType="application/vnd.openxmlformats-officedocument.spreadsheetml.revisionLog+xml"/>
  <Override PartName="/xl/revisions/revisionLog356.xml" ContentType="application/vnd.openxmlformats-officedocument.spreadsheetml.revisionLog+xml"/>
  <Override PartName="/xl/revisions/revisionLog216.xml" ContentType="application/vnd.openxmlformats-officedocument.spreadsheetml.revisionLog+xml"/>
  <Override PartName="/xl/revisions/revisionLog237.xml" ContentType="application/vnd.openxmlformats-officedocument.spreadsheetml.revisionLog+xml"/>
  <Override PartName="/xl/revisions/revisionLog23.xml" ContentType="application/vnd.openxmlformats-officedocument.spreadsheetml.revisionLog+xml"/>
  <Override PartName="/xl/revisions/revisionLog1.xml" ContentType="application/vnd.openxmlformats-officedocument.spreadsheetml.revisionLog+xml"/>
  <Override PartName="/xl/revisions/revisionLog248.xml" ContentType="application/vnd.openxmlformats-officedocument.spreadsheetml.revisionLog+xml"/>
  <Override PartName="/xl/revisions/revisionLog269.xml" ContentType="application/vnd.openxmlformats-officedocument.spreadsheetml.revisionLog+xml"/>
  <Override PartName="/xl/revisions/revisionLog283.xml" ContentType="application/vnd.openxmlformats-officedocument.spreadsheetml.revisionLog+xml"/>
  <Override PartName="/xl/revisions/revisionLog304.xml" ContentType="application/vnd.openxmlformats-officedocument.spreadsheetml.revisionLog+xml"/>
  <Override PartName="/xl/revisions/revisionLog325.xml" ContentType="application/vnd.openxmlformats-officedocument.spreadsheetml.revisionLog+xml"/>
  <Override PartName="/xl/revisions/revisionLog44.xml" ContentType="application/vnd.openxmlformats-officedocument.spreadsheetml.revisionLog+xml"/>
  <Override PartName="/xl/revisions/revisionLog65.xml" ContentType="application/vnd.openxmlformats-officedocument.spreadsheetml.revisionLog+xml"/>
  <Override PartName="/xl/revisions/revisionLog86.xml" ContentType="application/vnd.openxmlformats-officedocument.spreadsheetml.revisionLog+xml"/>
  <Override PartName="/xl/revisions/revisionLog127.xml" ContentType="application/vnd.openxmlformats-officedocument.spreadsheetml.revisionLog+xml"/>
  <Override PartName="/xl/revisions/revisionLog148.xml" ContentType="application/vnd.openxmlformats-officedocument.spreadsheetml.revisionLog+xml"/>
  <Override PartName="/xl/revisions/revisionLog346.xml" ContentType="application/vnd.openxmlformats-officedocument.spreadsheetml.revisionLog+xml"/>
  <Override PartName="/xl/revisions/revisionLog367.xml" ContentType="application/vnd.openxmlformats-officedocument.spreadsheetml.revisionLog+xml"/>
  <Override PartName="/xl/revisions/revisionLog162.xml" ContentType="application/vnd.openxmlformats-officedocument.spreadsheetml.revisionLog+xml"/>
  <Override PartName="/xl/revisions/revisionLog171.xml" ContentType="application/vnd.openxmlformats-officedocument.spreadsheetml.revisionLog+xml"/>
  <Override PartName="/xl/revisions/revisionLog185.xml" ContentType="application/vnd.openxmlformats-officedocument.spreadsheetml.revisionLog+xml"/>
  <Override PartName="/xl/revisions/revisionLog206.xml" ContentType="application/vnd.openxmlformats-officedocument.spreadsheetml.revisionLog+xml"/>
  <Override PartName="/xl/revisions/revisionLog227.xml" ContentType="application/vnd.openxmlformats-officedocument.spreadsheetml.revisionLog+xml"/>
  <Override PartName="/xl/revisions/revisionLog109.xml" ContentType="application/vnd.openxmlformats-officedocument.spreadsheetml.revisionLog+xml"/>
  <Override PartName="/xl/revisions/revisionLog238.xml" ContentType="application/vnd.openxmlformats-officedocument.spreadsheetml.revisionLog+xml"/>
  <Override PartName="/xl/revisions/revisionLog259.xml" ContentType="application/vnd.openxmlformats-officedocument.spreadsheetml.revisionLog+xml"/>
  <Override PartName="/xl/revisions/revisionLog294.xml" ContentType="application/vnd.openxmlformats-officedocument.spreadsheetml.revisionLog+xml"/>
  <Override PartName="/xl/revisions/revisionLog315.xml" ContentType="application/vnd.openxmlformats-officedocument.spreadsheetml.revisionLog+xml"/>
  <Override PartName="/xl/revisions/revisionLog34.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97.xml" ContentType="application/vnd.openxmlformats-officedocument.spreadsheetml.revisionLog+xml"/>
  <Override PartName="/xl/revisions/revisionLog2.xml" ContentType="application/vnd.openxmlformats-officedocument.spreadsheetml.revisionLog+xml"/>
  <Override PartName="/xl/revisions/revisionLog138.xml" ContentType="application/vnd.openxmlformats-officedocument.spreadsheetml.revisionLog+xml"/>
  <Override PartName="/xl/revisions/revisionLog336.xml" ContentType="application/vnd.openxmlformats-officedocument.spreadsheetml.revisionLog+xml"/>
  <Override PartName="/xl/revisions/revisionLog357.xml" ContentType="application/vnd.openxmlformats-officedocument.spreadsheetml.revisionLog+xml"/>
  <Override PartName="/xl/revisions/revisionLog7.xml" ContentType="application/vnd.openxmlformats-officedocument.spreadsheetml.revisionLog+xml"/>
  <Override PartName="/xl/revisions/revisionLog13.xml" ContentType="application/vnd.openxmlformats-officedocument.spreadsheetml.revisionLog+xml"/>
  <Override PartName="/xl/revisions/revisionLog196.xml" ContentType="application/vnd.openxmlformats-officedocument.spreadsheetml.revisionLog+xml"/>
  <Override PartName="/xl/revisions/revisionLog217.xml" ContentType="application/vnd.openxmlformats-officedocument.spreadsheetml.revisionLog+xml"/>
  <Override PartName="/xl/revisions/revisionLog228.xml" ContentType="application/vnd.openxmlformats-officedocument.spreadsheetml.revisionLog+xml"/>
  <Override PartName="/xl/revisions/revisionLog249.xml" ContentType="application/vnd.openxmlformats-officedocument.spreadsheetml.revisionLog+xml"/>
  <Override PartName="/xl/revisions/revisionLog270.xml" ContentType="application/vnd.openxmlformats-officedocument.spreadsheetml.revisionLog+xml"/>
  <Override PartName="/xl/revisions/revisionLog284.xml" ContentType="application/vnd.openxmlformats-officedocument.spreadsheetml.revisionLog+xml"/>
  <Override PartName="/xl/revisions/revisionLog24.xml" ContentType="application/vnd.openxmlformats-officedocument.spreadsheetml.revisionLog+xml"/>
  <Override PartName="/xl/revisions/revisionLog45.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128.xml" ContentType="application/vnd.openxmlformats-officedocument.spreadsheetml.revisionLog+xml"/>
  <Override PartName="/xl/revisions/revisionLog305.xml" ContentType="application/vnd.openxmlformats-officedocument.spreadsheetml.revisionLog+xml"/>
  <Override PartName="/xl/revisions/revisionLog326.xml" ContentType="application/vnd.openxmlformats-officedocument.spreadsheetml.revisionLog+xml"/>
  <Override PartName="/xl/revisions/revisionLog347.xml" ContentType="application/vnd.openxmlformats-officedocument.spreadsheetml.revisionLog+xml"/>
  <Override PartName="/xl/revisions/revisionLog149.xml" ContentType="application/vnd.openxmlformats-officedocument.spreadsheetml.revisionLog+xml"/>
  <Override PartName="/xl/revisions/revisionLog163.xml" ContentType="application/vnd.openxmlformats-officedocument.spreadsheetml.revisionLog+xml"/>
  <Override PartName="/xl/revisions/revisionLog172.xml" ContentType="application/vnd.openxmlformats-officedocument.spreadsheetml.revisionLog+xml"/>
  <Override PartName="/xl/revisions/revisionLog186.xml" ContentType="application/vnd.openxmlformats-officedocument.spreadsheetml.revisionLog+xml"/>
  <Override PartName="/xl/revisions/revisionLog207.xml" ContentType="application/vnd.openxmlformats-officedocument.spreadsheetml.revisionLog+xml"/>
  <Override PartName="/xl/revisions/revisionLog358.xml" ContentType="application/vnd.openxmlformats-officedocument.spreadsheetml.revisionLog+xml"/>
  <Override PartName="/xl/revisions/revisionLog218.xml" ContentType="application/vnd.openxmlformats-officedocument.spreadsheetml.revisionLog+xml"/>
  <Override PartName="/xl/revisions/revisionLog239.xml" ContentType="application/vnd.openxmlformats-officedocument.spreadsheetml.revisionLog+xml"/>
  <Override PartName="/xl/revisions/revisionLog35.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260.xml" ContentType="application/vnd.openxmlformats-officedocument.spreadsheetml.revisionLog+xml"/>
  <Override PartName="/xl/revisions/revisionLog295.xml" ContentType="application/vnd.openxmlformats-officedocument.spreadsheetml.revisionLog+xml"/>
  <Override PartName="/xl/revisions/revisionLog316.xml" ContentType="application/vnd.openxmlformats-officedocument.spreadsheetml.revisionLog+xml"/>
  <Override PartName="/xl/revisions/revisionLog337.xml" ContentType="application/vnd.openxmlformats-officedocument.spreadsheetml.revisionLog+xml"/>
  <Override PartName="/xl/revisions/revisionLog139.xml" ContentType="application/vnd.openxmlformats-officedocument.spreadsheetml.revisionLog+xml"/>
  <Override PartName="/xl/revisions/revisionLog98.xml" ContentType="application/vnd.openxmlformats-officedocument.spreadsheetml.revisionLog+xml"/>
  <Override PartName="/xl/revisions/revisionLog3.xml" ContentType="application/vnd.openxmlformats-officedocument.spreadsheetml.revisionLog+xml"/>
  <Override PartName="/xl/revisions/revisionLog8.xml" ContentType="application/vnd.openxmlformats-officedocument.spreadsheetml.revisionLog+xml"/>
  <Override PartName="/xl/revisions/revisionLog14.xml" ContentType="application/vnd.openxmlformats-officedocument.spreadsheetml.revisionLog+xml"/>
  <Override PartName="/xl/revisions/revisionLog197.xml" ContentType="application/vnd.openxmlformats-officedocument.spreadsheetml.revisionLog+xml"/>
  <Override PartName="/xl/revisions/revisionLog348.xml" ContentType="application/vnd.openxmlformats-officedocument.spreadsheetml.revisionLog+xml"/>
  <Override PartName="/xl/revisions/revisionLog208.xml" ContentType="application/vnd.openxmlformats-officedocument.spreadsheetml.revisionLog+xml"/>
  <Override PartName="/xl/revisions/revisionLog229.xml" ContentType="application/vnd.openxmlformats-officedocument.spreadsheetml.revisionLog+xml"/>
  <Override PartName="/xl/revisions/revisionLog25.xml" ContentType="application/vnd.openxmlformats-officedocument.spreadsheetml.revisionLog+xml"/>
  <Override PartName="/xl/revisions/revisionLog46.xml" ContentType="application/vnd.openxmlformats-officedocument.spreadsheetml.revisionLog+xml"/>
  <Override PartName="/xl/revisions/revisionLog67.xml" ContentType="application/vnd.openxmlformats-officedocument.spreadsheetml.revisionLog+xml"/>
  <Override PartName="/xl/revisions/revisionLog250.xml" ContentType="application/vnd.openxmlformats-officedocument.spreadsheetml.revisionLog+xml"/>
  <Override PartName="/xl/revisions/revisionLog271.xml" ContentType="application/vnd.openxmlformats-officedocument.spreadsheetml.revisionLog+xml"/>
  <Override PartName="/xl/revisions/revisionLog285.xml" ContentType="application/vnd.openxmlformats-officedocument.spreadsheetml.revisionLog+xml"/>
  <Override PartName="/xl/revisions/revisionLog306.xml" ContentType="application/vnd.openxmlformats-officedocument.spreadsheetml.revisionLog+xml"/>
  <Override PartName="/xl/revisions/revisionLog327.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29.xml" ContentType="application/vnd.openxmlformats-officedocument.spreadsheetml.revisionLog+xml"/>
  <Override PartName="/xl/revisions/revisionLog150.xml" ContentType="application/vnd.openxmlformats-officedocument.spreadsheetml.revisionLog+xml"/>
  <Override PartName="/xl/revisions/revisionLog164.xml" ContentType="application/vnd.openxmlformats-officedocument.spreadsheetml.revisionLog+xml"/>
  <Override PartName="/xl/revisions/revisionLog173.xml" ContentType="application/vnd.openxmlformats-officedocument.spreadsheetml.revisionLog+xml"/>
  <Override PartName="/xl/revisions/revisionLog187.xml" ContentType="application/vnd.openxmlformats-officedocument.spreadsheetml.revisionLog+xml"/>
  <Override PartName="/xl/revisions/revisionLog338.xml" ContentType="application/vnd.openxmlformats-officedocument.spreadsheetml.revisionLog+xml"/>
  <Override PartName="/xl/revisions/revisionLog359.xml" ContentType="application/vnd.openxmlformats-officedocument.spreadsheetml.revisionLog+xml"/>
  <Override PartName="/xl/revisions/revisionLog198.xml" ContentType="application/vnd.openxmlformats-officedocument.spreadsheetml.revisionLog+xml"/>
  <Override PartName="/xl/revisions/revisionLog219.xml" ContentType="application/vnd.openxmlformats-officedocument.spreadsheetml.revisionLog+xml"/>
  <Override PartName="/xl/revisions/revisionLog36.xml" ContentType="application/vnd.openxmlformats-officedocument.spreadsheetml.revisionLog+xml"/>
  <Override PartName="/xl/revisions/revisionLog57.xml" ContentType="application/vnd.openxmlformats-officedocument.spreadsheetml.revisionLog+xml"/>
  <Override PartName="/xl/revisions/revisionLog240.xml" ContentType="application/vnd.openxmlformats-officedocument.spreadsheetml.revisionLog+xml"/>
  <Override PartName="/xl/revisions/revisionLog261.xml" ContentType="application/vnd.openxmlformats-officedocument.spreadsheetml.revisionLog+xml"/>
  <Override PartName="/xl/revisions/revisionLog296.xml" ContentType="application/vnd.openxmlformats-officedocument.spreadsheetml.revisionLog+xml"/>
  <Override PartName="/xl/revisions/revisionLog317.xml" ContentType="application/vnd.openxmlformats-officedocument.spreadsheetml.revisionLog+xml"/>
  <Override PartName="/xl/revisions/revisionLog31.xml" ContentType="application/vnd.openxmlformats-officedocument.spreadsheetml.revisionLog+xml"/>
  <Override PartName="/xl/revisions/revisionLog52.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01.xml" ContentType="application/vnd.openxmlformats-officedocument.spreadsheetml.revisionLog+xml"/>
  <Override PartName="/xl/revisions/revisionLog119.xml" ContentType="application/vnd.openxmlformats-officedocument.spreadsheetml.revisionLog+xml"/>
  <Override PartName="/xl/revisions/revisionLog140.xml" ContentType="application/vnd.openxmlformats-officedocument.spreadsheetml.revisionLog+xml"/>
  <Override PartName="/xl/revisions/revisionLog145.xml" ContentType="application/vnd.openxmlformats-officedocument.spreadsheetml.revisionLog+xml"/>
  <Override PartName="/xl/revisions/revisionLog9.xml" ContentType="application/vnd.openxmlformats-officedocument.spreadsheetml.revisionLog+xml"/>
  <Override PartName="/xl/revisions/revisionLog159.xml" ContentType="application/vnd.openxmlformats-officedocument.spreadsheetml.revisionLog+xml"/>
  <Override PartName="/xl/revisions/revisionLog15.xml" ContentType="application/vnd.openxmlformats-officedocument.spreadsheetml.revisionLog+xml"/>
  <Override PartName="/xl/revisions/revisionLog312.xml" ContentType="application/vnd.openxmlformats-officedocument.spreadsheetml.revisionLog+xml"/>
  <Override PartName="/xl/revisions/revisionLog328.xml" ContentType="application/vnd.openxmlformats-officedocument.spreadsheetml.revisionLog+xml"/>
  <Override PartName="/xl/revisions/revisionLog333.xml" ContentType="application/vnd.openxmlformats-officedocument.spreadsheetml.revisionLog+xml"/>
  <Override PartName="/xl/revisions/revisionLog349.xml" ContentType="application/vnd.openxmlformats-officedocument.spreadsheetml.revisionLog+xml"/>
  <Override PartName="/xl/revisions/revisionLog354.xml" ContentType="application/vnd.openxmlformats-officedocument.spreadsheetml.revisionLog+xml"/>
  <Override PartName="/xl/revisions/revisionLog170.xml" ContentType="application/vnd.openxmlformats-officedocument.spreadsheetml.revisionLog+xml"/>
  <Override PartName="/xl/revisions/revisionLog188.xml" ContentType="application/vnd.openxmlformats-officedocument.spreadsheetml.revisionLog+xml"/>
  <Override PartName="/xl/revisions/revisionLog193.xml" ContentType="application/vnd.openxmlformats-officedocument.spreadsheetml.revisionLog+xml"/>
  <Override PartName="/xl/revisions/revisionLog214.xml" ContentType="application/vnd.openxmlformats-officedocument.spreadsheetml.revisionLog+xml"/>
  <Override PartName="/xl/revisions/revisionLog235.xml" ContentType="application/vnd.openxmlformats-officedocument.spreadsheetml.revisionLog+xml"/>
  <Override PartName="/xl/revisions/revisionLog256.xml" ContentType="application/vnd.openxmlformats-officedocument.spreadsheetml.revisionLog+xml"/>
  <Override PartName="/xl/revisions/revisionLog26.xml" ContentType="application/vnd.openxmlformats-officedocument.spreadsheetml.revisionLog+xml"/>
  <Override PartName="/xl/revisions/revisionLog209.xml" ContentType="application/vnd.openxmlformats-officedocument.spreadsheetml.revisionLog+xml"/>
  <Override PartName="/xl/revisions/revisionLog230.xml" ContentType="application/vnd.openxmlformats-officedocument.spreadsheetml.revisionLog+xml"/>
  <Override PartName="/xl/revisions/revisionLog251.xml" ContentType="application/vnd.openxmlformats-officedocument.spreadsheetml.revisionLog+xml"/>
  <Override PartName="/xl/revisions/revisionLog272.xml" ContentType="application/vnd.openxmlformats-officedocument.spreadsheetml.revisionLog+xml"/>
  <Override PartName="/xl/revisions/revisionLog286.xml" ContentType="application/vnd.openxmlformats-officedocument.spreadsheetml.revisionLog+xml"/>
  <Override PartName="/xl/revisions/revisionLog307.xml" ContentType="application/vnd.openxmlformats-officedocument.spreadsheetml.revisionLog+xml"/>
  <Override PartName="/xl/revisions/revisionLog165.xml" ContentType="application/vnd.openxmlformats-officedocument.spreadsheetml.revisionLog+xml"/>
  <Override PartName="/xl/revisions/revisionLog47.xml" ContentType="application/vnd.openxmlformats-officedocument.spreadsheetml.revisionLog+xml"/>
  <Override PartName="/xl/revisions/revisionLog68.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30.xml" ContentType="application/vnd.openxmlformats-officedocument.spreadsheetml.revisionLog+xml"/>
  <Override PartName="/xl/revisions/revisionLog151.xml" ContentType="application/vnd.openxmlformats-officedocument.spreadsheetml.revisionLog+xml"/>
  <Override PartName="/xl/revisions/revisionLog318.xml" ContentType="application/vnd.openxmlformats-officedocument.spreadsheetml.revisionLog+xml"/>
  <Override PartName="/xl/revisions/revisionLog339.xml" ContentType="application/vnd.openxmlformats-officedocument.spreadsheetml.revisionLog+xml"/>
  <Override PartName="/xl/revisions/revisionLog174.xml" ContentType="application/vnd.openxmlformats-officedocument.spreadsheetml.revisionLog+xml"/>
  <Override PartName="/xl/revisions/revisionLog178.xml" ContentType="application/vnd.openxmlformats-officedocument.spreadsheetml.revisionLog+xml"/>
  <Override PartName="/xl/revisions/revisionLog360.xml" ContentType="application/vnd.openxmlformats-officedocument.spreadsheetml.revisionLog+xml"/>
  <Override PartName="/xl/revisions/revisionLog199.xml" ContentType="application/vnd.openxmlformats-officedocument.spreadsheetml.revisionLog+xml"/>
  <Override PartName="/xl/revisions/revisionLog220.xml" ContentType="application/vnd.openxmlformats-officedocument.spreadsheetml.revisionLog+xml"/>
  <Override PartName="/xl/revisions/revisionLog241.xml" ContentType="application/vnd.openxmlformats-officedocument.spreadsheetml.revisionLog+xml"/>
  <Override PartName="/xl/revisions/revisionLog262.xml" ContentType="application/vnd.openxmlformats-officedocument.spreadsheetml.revisionLog+xml"/>
  <Override PartName="/xl/revisions/revisionLog297.xml" ContentType="application/vnd.openxmlformats-officedocument.spreadsheetml.revisionLog+xml"/>
  <Override PartName="/xl/revisions/revisionLog37.xml" ContentType="application/vnd.openxmlformats-officedocument.spreadsheetml.revisionLog+xml"/>
  <Override PartName="/xl/revisions/revisionLog58.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0.xml" ContentType="application/vnd.openxmlformats-officedocument.spreadsheetml.revisionLog+xml"/>
  <Override PartName="/xl/revisions/revisionLog141.xml" ContentType="application/vnd.openxmlformats-officedocument.spreadsheetml.revisionLog+xml"/>
  <Override PartName="/xl/revisions/revisionLog308.xml" ContentType="application/vnd.openxmlformats-officedocument.spreadsheetml.revisionLog+xml"/>
  <Override PartName="/xl/revisions/revisionLog90.xml" ContentType="application/vnd.openxmlformats-officedocument.spreadsheetml.revisionLog+xml"/>
  <Override PartName="/xl/revisions/revisionLog10.xml" ContentType="application/vnd.openxmlformats-officedocument.spreadsheetml.revisionLog+xml"/>
  <Override PartName="/xl/revisions/revisionLog16.xml" ContentType="application/vnd.openxmlformats-officedocument.spreadsheetml.revisionLog+xml"/>
  <Override PartName="/xl/revisions/revisionLog329.xml" ContentType="application/vnd.openxmlformats-officedocument.spreadsheetml.revisionLog+xml"/>
  <Override PartName="/xl/revisions/revisionLog350.xml" ContentType="application/vnd.openxmlformats-officedocument.spreadsheetml.revisionLog+xml"/>
  <Override PartName="/xl/revisions/revisionLog189.xml" ContentType="application/vnd.openxmlformats-officedocument.spreadsheetml.revisionLog+xml"/>
  <Override PartName="/xl/revisions/revisionLog210.xml" ContentType="application/vnd.openxmlformats-officedocument.spreadsheetml.revisionLog+xml"/>
  <Override PartName="/xl/revisions/revisionLog231.xml" ContentType="application/vnd.openxmlformats-officedocument.spreadsheetml.revisionLog+xml"/>
  <Override PartName="/xl/revisions/revisionLog252.xml" ContentType="application/vnd.openxmlformats-officedocument.spreadsheetml.revisionLog+xml"/>
  <Override PartName="/xl/revisions/revisionLog273.xml" ContentType="application/vnd.openxmlformats-officedocument.spreadsheetml.revisionLog+xml"/>
  <Override PartName="/xl/revisions/revisionLog287.xml" ContentType="application/vnd.openxmlformats-officedocument.spreadsheetml.revisionLog+xml"/>
  <Override PartName="/xl/revisions/revisionLog27.xml" ContentType="application/vnd.openxmlformats-officedocument.spreadsheetml.revisionLog+xml"/>
  <Override PartName="/xl/revisions/revisionLog48.xml" ContentType="application/vnd.openxmlformats-officedocument.spreadsheetml.revisionLog+xml"/>
  <Override PartName="/xl/revisions/revisionLog69.xml" ContentType="application/vnd.openxmlformats-officedocument.spreadsheetml.revisionLog+xml"/>
  <Override PartName="/xl/revisions/revisionLog113.xml" ContentType="application/vnd.openxmlformats-officedocument.spreadsheetml.revisionLog+xml"/>
  <Override PartName="/xl/revisions/revisionLog131.xml" ContentType="application/vnd.openxmlformats-officedocument.spreadsheetml.revisionLog+xml"/>
  <Override PartName="/xl/revisions/revisionLog298.xml" ContentType="application/vnd.openxmlformats-officedocument.spreadsheetml.revisionLog+xml"/>
  <Override PartName="/xl/revisions/revisionLog80.xml" ContentType="application/vnd.openxmlformats-officedocument.spreadsheetml.revisionLog+xml"/>
  <Override PartName="/xl/revisions/revisionLog152.xml" ContentType="application/vnd.openxmlformats-officedocument.spreadsheetml.revisionLog+xml"/>
  <Override PartName="/xl/revisions/revisionLog166.xml" ContentType="application/vnd.openxmlformats-officedocument.spreadsheetml.revisionLog+xml"/>
  <Override PartName="/xl/revisions/revisionLog175.xml" ContentType="application/vnd.openxmlformats-officedocument.spreadsheetml.revisionLog+xml"/>
  <Override PartName="/xl/revisions/revisionLog319.xml" ContentType="application/vnd.openxmlformats-officedocument.spreadsheetml.revisionLog+xml"/>
  <Override PartName="/xl/revisions/revisionLog340.xml" ContentType="application/vnd.openxmlformats-officedocument.spreadsheetml.revisionLog+xml"/>
  <Override PartName="/xl/revisions/revisionLog361.xml" ContentType="application/vnd.openxmlformats-officedocument.spreadsheetml.revisionLog+xml"/>
  <Override PartName="/xl/revisions/revisionLog179.xml" ContentType="application/vnd.openxmlformats-officedocument.spreadsheetml.revisionLog+xml"/>
  <Override PartName="/xl/revisions/revisionLog200.xml" ContentType="application/vnd.openxmlformats-officedocument.spreadsheetml.revisionLog+xml"/>
  <Override PartName="/xl/revisions/revisionLog221.xml" ContentType="application/vnd.openxmlformats-officedocument.spreadsheetml.revisionLog+xml"/>
  <Override PartName="/xl/revisions/revisionLog242.xml" ContentType="application/vnd.openxmlformats-officedocument.spreadsheetml.revisionLog+xml"/>
  <Override PartName="/xl/revisions/revisionLog263.xml" ContentType="application/vnd.openxmlformats-officedocument.spreadsheetml.revisionLog+xml"/>
  <Override PartName="/xl/revisions/revisionLog121.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3.xml" ContentType="application/vnd.openxmlformats-officedocument.spreadsheetml.revisionLog+xml"/>
  <Override PartName="/xl/revisions/revisionLog288.xml" ContentType="application/vnd.openxmlformats-officedocument.spreadsheetml.revisionLog+xml"/>
  <Override PartName="/xl/revisions/revisionLog70.xml" ContentType="application/vnd.openxmlformats-officedocument.spreadsheetml.revisionLog+xml"/>
  <Override PartName="/xl/revisions/revisionLog91.xml" ContentType="application/vnd.openxmlformats-officedocument.spreadsheetml.revisionLog+xml"/>
  <Override PartName="/xl/revisions/revisionLog142.xml" ContentType="application/vnd.openxmlformats-officedocument.spreadsheetml.revisionLog+xml"/>
  <Override PartName="/xl/revisions/revisionLog156.xml" ContentType="application/vnd.openxmlformats-officedocument.spreadsheetml.revisionLog+xml"/>
  <Override PartName="/xl/revisions/revisionLog17.xml" ContentType="application/vnd.openxmlformats-officedocument.spreadsheetml.revisionLog+xml"/>
  <Override PartName="/xl/revisions/revisionLog309.xml" ContentType="application/vnd.openxmlformats-officedocument.spreadsheetml.revisionLog+xml"/>
  <Override PartName="/xl/revisions/revisionLog330.xml" ContentType="application/vnd.openxmlformats-officedocument.spreadsheetml.revisionLog+xml"/>
  <Override PartName="/xl/revisions/revisionLog351.xml" ContentType="application/vnd.openxmlformats-officedocument.spreadsheetml.revisionLog+xml"/>
  <Override PartName="/xl/revisions/revisionLog190.xml" ContentType="application/vnd.openxmlformats-officedocument.spreadsheetml.revisionLog+xml"/>
  <Override PartName="/xl/revisions/revisionLog211.xml" ContentType="application/vnd.openxmlformats-officedocument.spreadsheetml.revisionLog+xml"/>
  <Override PartName="/xl/revisions/revisionLog232.xml" ContentType="application/vnd.openxmlformats-officedocument.spreadsheetml.revisionLog+xml"/>
  <Override PartName="/xl/revisions/revisionLog28.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253.xml" ContentType="application/vnd.openxmlformats-officedocument.spreadsheetml.revisionLog+xml"/>
  <Override PartName="/xl/revisions/revisionLog274.xml" ContentType="application/vnd.openxmlformats-officedocument.spreadsheetml.revisionLog+xml"/>
  <Override PartName="/xl/revisions/revisionLog278.xml" ContentType="application/vnd.openxmlformats-officedocument.spreadsheetml.revisionLog+xml"/>
  <Override PartName="/xl/revisions/revisionLog153.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132.xml" ContentType="application/vnd.openxmlformats-officedocument.spreadsheetml.revisionLog+xml"/>
  <Override PartName="/xl/revisions/revisionLog167.xml" ContentType="application/vnd.openxmlformats-officedocument.spreadsheetml.revisionLog+xml"/>
  <Override PartName="/xl/revisions/revisionLog176.xml" ContentType="application/vnd.openxmlformats-officedocument.spreadsheetml.revisionLog+xml"/>
  <Override PartName="/xl/revisions/revisionLog299.xml" ContentType="application/vnd.openxmlformats-officedocument.spreadsheetml.revisionLog+xml"/>
  <Override PartName="/xl/revisions/revisionLog320.xml" ContentType="application/vnd.openxmlformats-officedocument.spreadsheetml.revisionLog+xml"/>
  <Override PartName="/xl/revisions/revisionLog341.xml" ContentType="application/vnd.openxmlformats-officedocument.spreadsheetml.revisionLog+xml"/>
  <Override PartName="/xl/revisions/revisionLog362.xml" ContentType="application/vnd.openxmlformats-officedocument.spreadsheetml.revisionLog+xml"/>
  <Override PartName="/xl/revisions/revisionLog180.xml" ContentType="application/vnd.openxmlformats-officedocument.spreadsheetml.revisionLog+xml"/>
  <Override PartName="/xl/revisions/revisionLog201.xml" ContentType="application/vnd.openxmlformats-officedocument.spreadsheetml.revisionLog+xml"/>
  <Override PartName="/xl/revisions/revisionLog222.xml" ContentType="application/vnd.openxmlformats-officedocument.spreadsheetml.revisionLog+xml"/>
  <Override PartName="/xl/revisions/revisionLog39.xml" ContentType="application/vnd.openxmlformats-officedocument.spreadsheetml.revisionLog+xml"/>
  <Override PartName="/xl/revisions/revisionLog243.xml" ContentType="application/vnd.openxmlformats-officedocument.spreadsheetml.revisionLog+xml"/>
  <Override PartName="/xl/revisions/revisionLog264.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22.xml" ContentType="application/vnd.openxmlformats-officedocument.spreadsheetml.revisionLog+xml"/>
  <Override PartName="/xl/revisions/revisionLog143.xml" ContentType="application/vnd.openxmlformats-officedocument.spreadsheetml.revisionLog+xml"/>
  <Override PartName="/xl/revisions/revisionLog157.xml" ContentType="application/vnd.openxmlformats-officedocument.spreadsheetml.revisionLog+xml"/>
  <Override PartName="/xl/revisions/revisionLog18.xml" ContentType="application/vnd.openxmlformats-officedocument.spreadsheetml.revisionLog+xml"/>
  <Override PartName="/xl/revisions/revisionLog289.xml" ContentType="application/vnd.openxmlformats-officedocument.spreadsheetml.revisionLog+xml"/>
  <Override PartName="/xl/revisions/revisionLog310.xml" ContentType="application/vnd.openxmlformats-officedocument.spreadsheetml.revisionLog+xml"/>
  <Override PartName="/xl/revisions/revisionLog331.xml" ContentType="application/vnd.openxmlformats-officedocument.spreadsheetml.revisionLog+xml"/>
  <Override PartName="/xl/revisions/revisionLog352.xml" ContentType="application/vnd.openxmlformats-officedocument.spreadsheetml.revisionLog+xml"/>
  <Override PartName="/xl/revisions/revisionLog92.xml" ContentType="application/vnd.openxmlformats-officedocument.spreadsheetml.revisionLog+xml"/>
  <Override PartName="/xl/revisions/revisionLog71.xml" ContentType="application/vnd.openxmlformats-officedocument.spreadsheetml.revisionLog+xml"/>
  <Override PartName="/xl/revisions/revisionLog191.xml" ContentType="application/vnd.openxmlformats-officedocument.spreadsheetml.revisionLog+xml"/>
  <Override PartName="/xl/revisions/revisionLog212.xml" ContentType="application/vnd.openxmlformats-officedocument.spreadsheetml.revisionLog+xml"/>
  <Override PartName="/xl/revisions/revisionLog29.xml" ContentType="application/vnd.openxmlformats-officedocument.spreadsheetml.revisionLog+xml"/>
  <Override PartName="/xl/revisions/revisionLog233.xml" ContentType="application/vnd.openxmlformats-officedocument.spreadsheetml.revisionLog+xml"/>
  <Override PartName="/xl/revisions/revisionLog254.xml" ContentType="application/vnd.openxmlformats-officedocument.spreadsheetml.revisionLog+xml"/>
  <Override PartName="/xl/revisions/revisionLog275.xml" ContentType="application/vnd.openxmlformats-officedocument.spreadsheetml.revisionLog+xml"/>
  <Override PartName="/xl/revisions/revisionLog40.xml" ContentType="application/vnd.openxmlformats-officedocument.spreadsheetml.revisionLog+xml"/>
  <Override PartName="/xl/revisions/revisionLog115.xml" ContentType="application/vnd.openxmlformats-officedocument.spreadsheetml.revisionLog+xml"/>
  <Override PartName="/xl/revisions/revisionLog133.xml" ContentType="application/vnd.openxmlformats-officedocument.spreadsheetml.revisionLog+xml"/>
  <Override PartName="/xl/revisions/revisionLog154.xml" ContentType="application/vnd.openxmlformats-officedocument.spreadsheetml.revisionLog+xml"/>
  <Override PartName="/xl/revisions/revisionLog168.xml" ContentType="application/vnd.openxmlformats-officedocument.spreadsheetml.revisionLog+xml"/>
  <Override PartName="/xl/revisions/revisionLog279.xml" ContentType="application/vnd.openxmlformats-officedocument.spreadsheetml.revisionLog+xml"/>
  <Override PartName="/xl/revisions/revisionLog300.xml" ContentType="application/vnd.openxmlformats-officedocument.spreadsheetml.revisionLog+xml"/>
  <Override PartName="/xl/revisions/revisionLog321.xml" ContentType="application/vnd.openxmlformats-officedocument.spreadsheetml.revisionLog+xml"/>
  <Override PartName="/xl/revisions/revisionLog342.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77.xml" ContentType="application/vnd.openxmlformats-officedocument.spreadsheetml.revisionLog+xml"/>
  <Override PartName="/xl/revisions/revisionLog181.xml" ContentType="application/vnd.openxmlformats-officedocument.spreadsheetml.revisionLog+xml"/>
  <Override PartName="/xl/revisions/revisionLog363.xml" ContentType="application/vnd.openxmlformats-officedocument.spreadsheetml.revisionLog+xml"/>
  <Override PartName="/xl/revisions/revisionLog202.xml" ContentType="application/vnd.openxmlformats-officedocument.spreadsheetml.revisionLog+xml"/>
  <Override PartName="/xl/revisions/revisionLog223.xml" ContentType="application/vnd.openxmlformats-officedocument.spreadsheetml.revisionLog+xml"/>
  <Override PartName="/xl/revisions/revisionLog244.xml" ContentType="application/vnd.openxmlformats-officedocument.spreadsheetml.revisionLog+xml"/>
  <Override PartName="/xl/revisions/revisionLog265.xml" ContentType="application/vnd.openxmlformats-officedocument.spreadsheetml.revisionLog+xml"/>
  <Override PartName="/xl/revisions/revisionLog158.xml" ContentType="application/vnd.openxmlformats-officedocument.spreadsheetml.revisionLog+xml"/>
  <Override PartName="/xl/revisions/revisionLog30.xml" ContentType="application/vnd.openxmlformats-officedocument.spreadsheetml.revisionLog+xml"/>
  <Override PartName="/xl/revisions/revisionLog105.xml" ContentType="application/vnd.openxmlformats-officedocument.spreadsheetml.revisionLog+xml"/>
  <Override PartName="/xl/revisions/revisionLog123.xml" ContentType="application/vnd.openxmlformats-officedocument.spreadsheetml.revisionLog+xml"/>
  <Override PartName="/xl/revisions/revisionLog144.xml" ContentType="application/vnd.openxmlformats-officedocument.spreadsheetml.revisionLog+xml"/>
  <Override PartName="/xl/revisions/revisionLog290.xml" ContentType="application/vnd.openxmlformats-officedocument.spreadsheetml.revisionLog+xml"/>
  <Override PartName="/xl/revisions/revisionLog311.xml" ContentType="application/vnd.openxmlformats-officedocument.spreadsheetml.revisionLog+xml"/>
  <Override PartName="/xl/revisions/revisionLog332.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19.xml" ContentType="application/vnd.openxmlformats-officedocument.spreadsheetml.revisionLog+xml"/>
  <Override PartName="/xl/revisions/revisionLog353.xml" ContentType="application/vnd.openxmlformats-officedocument.spreadsheetml.revisionLog+xml"/>
  <Override PartName="/xl/revisions/revisionLog192.xml" ContentType="application/vnd.openxmlformats-officedocument.spreadsheetml.revisionLog+xml"/>
  <Override PartName="/xl/revisions/revisionLog213.xml" ContentType="application/vnd.openxmlformats-officedocument.spreadsheetml.revisionLog+xml"/>
  <Override PartName="/xl/revisions/revisionLog234.xml" ContentType="application/vnd.openxmlformats-officedocument.spreadsheetml.revisionLog+xml"/>
  <Override PartName="/xl/revisions/revisionLog255.xml" ContentType="application/vnd.openxmlformats-officedocument.spreadsheetml.revisionLog+xml"/>
  <Override PartName="/xl/revisions/revisionLog276.xml" ContentType="application/vnd.openxmlformats-officedocument.spreadsheetml.revisionLog+xml"/>
  <Override PartName="/xl/revisions/revisionLog116.xml" ContentType="application/vnd.openxmlformats-officedocument.spreadsheetml.revisionLog+xml"/>
  <Override PartName="/xl/revisions/revisionLog134.xml" ContentType="application/vnd.openxmlformats-officedocument.spreadsheetml.revisionLog+xml"/>
  <Override PartName="/xl/revisions/revisionLog155.xml" ContentType="application/vnd.openxmlformats-officedocument.spreadsheetml.revisionLog+xml"/>
  <Override PartName="/xl/revisions/revisionLog280.xml" ContentType="application/vnd.openxmlformats-officedocument.spreadsheetml.revisionLog+xml"/>
  <Override PartName="/xl/revisions/revisionLog301.xml" ContentType="application/vnd.openxmlformats-officedocument.spreadsheetml.revisionLog+xml"/>
  <Override PartName="/xl/revisions/revisionLog322.xml" ContentType="application/vnd.openxmlformats-officedocument.spreadsheetml.revisionLog+xml"/>
  <Override PartName="/xl/revisions/revisionLog169.xml" ContentType="application/vnd.openxmlformats-officedocument.spreadsheetml.revisionLog+xml"/>
  <Override PartName="/xl/revisions/revisionLog41.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343.xml" ContentType="application/vnd.openxmlformats-officedocument.spreadsheetml.revisionLog+xml"/>
  <Override PartName="/xl/revisions/revisionLog364.xml" ContentType="application/vnd.openxmlformats-officedocument.spreadsheetml.revisionLog+xml"/>
  <Override PartName="/xl/revisions/revisionLog20.xml" ContentType="application/vnd.openxmlformats-officedocument.spreadsheetml.revisionLog+xml"/>
  <Override PartName="/xl/revisions/revisionLog182.xml" ContentType="application/vnd.openxmlformats-officedocument.spreadsheetml.revisionLog+xml"/>
  <Override PartName="/xl/revisions/revisionLog203.xml" ContentType="application/vnd.openxmlformats-officedocument.spreadsheetml.revisionLog+xml"/>
  <Override PartName="/xl/revisions/revisionLog224.xml" ContentType="application/vnd.openxmlformats-officedocument.spreadsheetml.revisionLog+xml"/>
  <Override PartName="/xl/revisions/revisionLog245.xml" ContentType="application/vnd.openxmlformats-officedocument.spreadsheetml.revisionLog+xml"/>
  <Override PartName="/xl/revisions/revisionLog266.xml" ContentType="application/vnd.openxmlformats-officedocument.spreadsheetml.revisionLog+xml"/>
  <Override PartName="/xl/revisions/revisionLog124.xml" ContentType="application/vnd.openxmlformats-officedocument.spreadsheetml.revisionLog+xml"/>
  <Override PartName="/xl/revisions/revisionLog106.xml" ContentType="application/vnd.openxmlformats-officedocument.spreadsheetml.revisionLog+xml"/>
  <Override PartName="/xl/revisions/revisionLog291.xml" ContentType="application/vnd.openxmlformats-officedocument.spreadsheetml.revisionLog+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C:\Users\thiago.madeira\PycharmProjects\Automacoes\"/>
    </mc:Choice>
  </mc:AlternateContent>
  <bookViews>
    <workbookView xWindow="0" yWindow="0" windowWidth="22260" windowHeight="12645"/>
  </bookViews>
  <sheets>
    <sheet name="Controle Empresas" sheetId="1" r:id="rId1"/>
    <sheet name="Particularidade" sheetId="2" r:id="rId2"/>
    <sheet name="Planilha2" sheetId="5" r:id="rId3"/>
    <sheet name="Resumo" sheetId="3" r:id="rId4"/>
    <sheet name="Planilha1" sheetId="4" r:id="rId5"/>
  </sheets>
  <definedNames>
    <definedName name="_xlnm._FilterDatabase" localSheetId="0" hidden="1">'Controle Empresas'!$A$1:$N$424</definedName>
    <definedName name="_xlnm._FilterDatabase" localSheetId="1" hidden="1">Particularidade!$A$1:$D$244</definedName>
    <definedName name="Z_01060250_E479_41E5_9B55_5A607DFAC210_.wvu.FilterData" localSheetId="1" hidden="1">Particularidade!$A$1:$D$244</definedName>
    <definedName name="Z_0C55EB31_959C_43B2_A4B8_B4CC6C30906E_.wvu.FilterData" localSheetId="0" hidden="1">'Controle Empresas'!$A$1:$N$424</definedName>
    <definedName name="Z_15A23383_7411_4825_BD4D_795309483348_.wvu.FilterData" localSheetId="0" hidden="1">'Controle Empresas'!$A$1:$N$424</definedName>
    <definedName name="Z_1A7ED5E8_90E5_45E9_B087_A9E38CFA6F09_.wvu.FilterData" localSheetId="0" hidden="1">'Controle Empresas'!$A$1:$N$424</definedName>
    <definedName name="Z_1D7B257B_853F_4D0B_91D6_D4444EFEC5AB_.wvu.FilterData" localSheetId="0" hidden="1">'Controle Empresas'!$A$1:$N$424</definedName>
    <definedName name="Z_1D7B257B_853F_4D0B_91D6_D4444EFEC5AB_.wvu.FilterData" localSheetId="1" hidden="1">Particularidade!$A$1:$D$244</definedName>
    <definedName name="Z_1E58BFD2_AAC1_41C4_A0D3_19D9332716CF_.wvu.FilterData" localSheetId="0" hidden="1">'Controle Empresas'!$A$1:$N$424</definedName>
    <definedName name="Z_1E58BFD2_AAC1_41C4_A0D3_19D9332716CF_.wvu.FilterData" localSheetId="1" hidden="1">Particularidade!$A$1:$D$244</definedName>
    <definedName name="Z_20574D61_2DC4_4574_AF3F_FD0E701A0BBF_.wvu.FilterData" localSheetId="0" hidden="1">'Controle Empresas'!$A$1:$N$424</definedName>
    <definedName name="Z_2110DC80_7B74_4BDB_BA50_BCBF940BBAB7_.wvu.FilterData" localSheetId="0" hidden="1">'Controle Empresas'!$A$1:$N$424</definedName>
    <definedName name="Z_279EB9D8_9D7C_4CA1_97AE_01B80E8012C5_.wvu.FilterData" localSheetId="0" hidden="1">'Controle Empresas'!$A$1:$N$424</definedName>
    <definedName name="Z_30593D1B_AFEB_4913_812D_7883AFD397C6_.wvu.FilterData" localSheetId="0" hidden="1">'Controle Empresas'!$A$1:$N$424</definedName>
    <definedName name="Z_31B72209_C6EB_4283_8CA2_8B2DE96DCF6C_.wvu.FilterData" localSheetId="0" hidden="1">'Controle Empresas'!$A$1:$N$424</definedName>
    <definedName name="Z_31B72209_C6EB_4283_8CA2_8B2DE96DCF6C_.wvu.FilterData" localSheetId="1" hidden="1">Particularidade!$A$1:$D$244</definedName>
    <definedName name="Z_390C2B55_7479_4B0A_9B83_D9BF6291FC14_.wvu.FilterData" localSheetId="0" hidden="1">'Controle Empresas'!$A$1:$N$424</definedName>
    <definedName name="Z_3BAB8028_A026_4F16_A097_ED449198AD60_.wvu.FilterData" localSheetId="0" hidden="1">'Controle Empresas'!$A$1:$N$424</definedName>
    <definedName name="Z_3BAB8028_A026_4F16_A097_ED449198AD60_.wvu.FilterData" localSheetId="1" hidden="1">Particularidade!$A$1:$D$244</definedName>
    <definedName name="Z_3BCABC4F_4072_4ED9_90CC_E9BE96773387_.wvu.Cols" localSheetId="0" hidden="1">'Controle Empresas'!$C:$F,'Controle Empresas'!$K:$K</definedName>
    <definedName name="Z_3BCABC4F_4072_4ED9_90CC_E9BE96773387_.wvu.FilterData" localSheetId="0" hidden="1">'Controle Empresas'!$A$1:$N$424</definedName>
    <definedName name="Z_3BCABC4F_4072_4ED9_90CC_E9BE96773387_.wvu.FilterData" localSheetId="1" hidden="1">Particularidade!$A$1:$D$244</definedName>
    <definedName name="Z_4331A40B_A775_48D2_8623_EADEB2A7A548_.wvu.FilterData" localSheetId="0" hidden="1">'Controle Empresas'!$A$1:$N$424</definedName>
    <definedName name="Z_4331A40B_A775_48D2_8623_EADEB2A7A548_.wvu.FilterData" localSheetId="1" hidden="1">Particularidade!$A$1:$D$244</definedName>
    <definedName name="Z_44627F90_111A_4938_A3EC_3F862F83F7D7_.wvu.FilterData" localSheetId="0" hidden="1">'Controle Empresas'!$A$1:$N$424</definedName>
    <definedName name="Z_44627F90_111A_4938_A3EC_3F862F83F7D7_.wvu.FilterData" localSheetId="1" hidden="1">Particularidade!$A$1:$D$244</definedName>
    <definedName name="Z_44627F90_111A_4938_A3EC_3F862F83F7D7_.wvu.PrintArea" localSheetId="0" hidden="1">'Controle Empresas'!$A$1:$N$425</definedName>
    <definedName name="Z_4AD023DC_4B9E_473F_AB98_4A1747DCD454_.wvu.FilterData" localSheetId="0" hidden="1">'Controle Empresas'!$A$1:$N$424</definedName>
    <definedName name="Z_4AD023DC_4B9E_473F_AB98_4A1747DCD454_.wvu.FilterData" localSheetId="1" hidden="1">Particularidade!$A$1:$D$244</definedName>
    <definedName name="Z_4B46F001_36D3_4D9B_89CE_C2E5478050B2_.wvu.FilterData" localSheetId="0" hidden="1">'Controle Empresas'!$A$1:$N$424</definedName>
    <definedName name="Z_4CCC5264_B8F2_4678_83B8_469DC29BB423_.wvu.FilterData" localSheetId="0" hidden="1">'Controle Empresas'!$A$1:$N$424</definedName>
    <definedName name="Z_51BB59E4_9A86_42B5_92F9_E5D00F0860E4_.wvu.FilterData" localSheetId="0" hidden="1">'Controle Empresas'!$A$1:$N$424</definedName>
    <definedName name="Z_51BB59E4_9A86_42B5_92F9_E5D00F0860E4_.wvu.FilterData" localSheetId="1" hidden="1">Particularidade!$A$1:$D$244</definedName>
    <definedName name="Z_52D4489E_F705_44D0_BDD7_2E61E89BBFE2_.wvu.Cols" localSheetId="0" hidden="1">'Controle Empresas'!$D:$F,'Controle Empresas'!$K:$K</definedName>
    <definedName name="Z_52D4489E_F705_44D0_BDD7_2E61E89BBFE2_.wvu.FilterData" localSheetId="0" hidden="1">'Controle Empresas'!$A$1:$N$424</definedName>
    <definedName name="Z_52D4489E_F705_44D0_BDD7_2E61E89BBFE2_.wvu.FilterData" localSheetId="1" hidden="1">Particularidade!$A$1:$D$244</definedName>
    <definedName name="Z_56C709C2_401A_4E95_95DB_C7C2E7B72832_.wvu.FilterData" localSheetId="0" hidden="1">'Controle Empresas'!$A$1:$N$424</definedName>
    <definedName name="Z_590CEBDA_E7AE_4D8D_8613_56208662CCA9_.wvu.FilterData" localSheetId="0" hidden="1">'Controle Empresas'!$A$1:$N$424</definedName>
    <definedName name="Z_590CEBDA_E7AE_4D8D_8613_56208662CCA9_.wvu.FilterData" localSheetId="1" hidden="1">Particularidade!$A$1:$D$244</definedName>
    <definedName name="Z_59C39A4D_2FCD_4983_BAF8_1CE90031C4DD_.wvu.FilterData" localSheetId="0" hidden="1">'Controle Empresas'!$A$1:$N$424</definedName>
    <definedName name="Z_5B67DD06_D0D2_4300_8757_3011BBA8417B_.wvu.FilterData" localSheetId="0" hidden="1">'Controle Empresas'!$A$1:$N$424</definedName>
    <definedName name="Z_5B67DD06_D0D2_4300_8757_3011BBA8417B_.wvu.FilterData" localSheetId="1" hidden="1">Particularidade!$A$1:$D$244</definedName>
    <definedName name="Z_63B59A4E_0A2D_444A_90A8_1E60C82FA671_.wvu.FilterData" localSheetId="1" hidden="1">Particularidade!$A$1:$D$244</definedName>
    <definedName name="Z_715A6A08_B748_4A76_8D0B_1B510EE8E3CC_.wvu.FilterData" localSheetId="0" hidden="1">'Controle Empresas'!$A$1:$N$424</definedName>
    <definedName name="Z_715A6A08_B748_4A76_8D0B_1B510EE8E3CC_.wvu.FilterData" localSheetId="1" hidden="1">Particularidade!$A$1:$D$244</definedName>
    <definedName name="Z_755B3018_37B3_46F2_9B86_01199B03BF5B_.wvu.FilterData" localSheetId="0" hidden="1">'Controle Empresas'!$A$1:$N$424</definedName>
    <definedName name="Z_75D321EC_D580_4E75_8260_43B85CBCEC9D_.wvu.FilterData" localSheetId="0" hidden="1">'Controle Empresas'!$A$1:$N$424</definedName>
    <definedName name="Z_75D321EC_D580_4E75_8260_43B85CBCEC9D_.wvu.FilterData" localSheetId="1" hidden="1">Particularidade!$A$1:$D$244</definedName>
    <definedName name="Z_7786184E_8383_4CEF_87C4_B2F3D6FB8F6D_.wvu.FilterData" localSheetId="0" hidden="1">'Controle Empresas'!$A$1:$N$424</definedName>
    <definedName name="Z_7B976439_AAC9_41C3_BCF0_6D93775196CD_.wvu.FilterData" localSheetId="0" hidden="1">'Controle Empresas'!$A$1:$N$424</definedName>
    <definedName name="Z_7B976439_AAC9_41C3_BCF0_6D93775196CD_.wvu.FilterData" localSheetId="1" hidden="1">Particularidade!$A$1:$D$244</definedName>
    <definedName name="Z_813D33AC_36BA_4FBC_8DE4_274F581BDE7D_.wvu.FilterData" localSheetId="0" hidden="1">'Controle Empresas'!$A$1:$N$424</definedName>
    <definedName name="Z_813D33AC_36BA_4FBC_8DE4_274F581BDE7D_.wvu.FilterData" localSheetId="1" hidden="1">Particularidade!$A$1:$D$244</definedName>
    <definedName name="Z_828A9E71_1795_4193_B65C_850CD3EED6EB_.wvu.FilterData" localSheetId="0" hidden="1">'Controle Empresas'!$A$1:$N$424</definedName>
    <definedName name="Z_88D177E3_4A30_4C9A_B060_A1208DBB9E69_.wvu.FilterData" localSheetId="0" hidden="1">'Controle Empresas'!$A$1:$N$424</definedName>
    <definedName name="Z_89CD2B65_62D4_43FD_851F_3940BA9B5DF7_.wvu.FilterData" localSheetId="0" hidden="1">'Controle Empresas'!$A$1:$N$424</definedName>
    <definedName name="Z_8D38AD52_3555_42F5_8B1C_D6822AA840F7_.wvu.FilterData" localSheetId="0" hidden="1">'Controle Empresas'!$A$1:$N$424</definedName>
    <definedName name="Z_8D38AD52_3555_42F5_8B1C_D6822AA840F7_.wvu.FilterData" localSheetId="1" hidden="1">Particularidade!$A$1:$D$244</definedName>
    <definedName name="Z_8E608B58_8C54_45C2_B6A6_8D6C990C7DA2_.wvu.FilterData" localSheetId="0" hidden="1">'Controle Empresas'!$A$1:$N$424</definedName>
    <definedName name="Z_9040F20D_4D58_4A77_A899_FB639C91F097_.wvu.FilterData" localSheetId="0" hidden="1">'Controle Empresas'!$A$1:$N$424</definedName>
    <definedName name="Z_926508C7_53C5_413C_B9C4_31FE3610CEBE_.wvu.FilterData" localSheetId="0" hidden="1">'Controle Empresas'!$A$1:$N$424</definedName>
    <definedName name="Z_9465CE3A_55D7_4F97_853A_31D01229A75B_.wvu.FilterData" localSheetId="0" hidden="1">'Controle Empresas'!$A$1:$N$424</definedName>
    <definedName name="Z_A5044DBD_97A1_42AB_9207_ADFB38E6D5B4_.wvu.FilterData" localSheetId="0" hidden="1">'Controle Empresas'!$A$1:$N$424</definedName>
    <definedName name="Z_A5044DBD_97A1_42AB_9207_ADFB38E6D5B4_.wvu.FilterData" localSheetId="1" hidden="1">Particularidade!$A$1:$D$244</definedName>
    <definedName name="Z_A70F1470_F7FC_4982_B605_4AE3063DF262_.wvu.FilterData" localSheetId="0" hidden="1">'Controle Empresas'!$A$1:$N$424</definedName>
    <definedName name="Z_B28B8B52_36D4_42AF_86E1_AF4C07581743_.wvu.FilterData" localSheetId="0" hidden="1">'Controle Empresas'!$A$1:$N$424</definedName>
    <definedName name="Z_B3826EE4_C8B4_4295_A5A0_D837F6451CAE_.wvu.FilterData" localSheetId="0" hidden="1">'Controle Empresas'!$A$1:$N$424</definedName>
    <definedName name="Z_B64A9450_1BE1_4554_85DF_9BFA62168B93_.wvu.FilterData" localSheetId="1" hidden="1">Particularidade!$A$1:$D$244</definedName>
    <definedName name="Z_BECD114F_A195_4DBA_8BF4_A90207633D95_.wvu.FilterData" localSheetId="0" hidden="1">'Controle Empresas'!$A$1:$N$424</definedName>
    <definedName name="Z_C316D171_A50A_46FE_AE85_146B631897B6_.wvu.FilterData" localSheetId="0" hidden="1">'Controle Empresas'!$A$1:$N$424</definedName>
    <definedName name="Z_C58C836A_D6D1_4DC5_863D_F4A20888B88B_.wvu.FilterData" localSheetId="0" hidden="1">'Controle Empresas'!$A$1:$N$424</definedName>
    <definedName name="Z_D2E3881F_DC0A_4A9A_B0FA_A6203EB1660D_.wvu.FilterData" localSheetId="1" hidden="1">Particularidade!$A$1:$D$244</definedName>
    <definedName name="Z_D9107D0B_DE51_45D5_8756_0313A67EE055_.wvu.FilterData" localSheetId="0" hidden="1">'Controle Empresas'!$A$1:$N$424</definedName>
    <definedName name="Z_DAEEB123_9C5D_4BF0_8F09_E7DEBC62D826_.wvu.Cols" localSheetId="0" hidden="1">'Controle Empresas'!$C:$F</definedName>
    <definedName name="Z_DAEEB123_9C5D_4BF0_8F09_E7DEBC62D826_.wvu.FilterData" localSheetId="0" hidden="1">'Controle Empresas'!$A$1:$N$424</definedName>
    <definedName name="Z_DAEEB123_9C5D_4BF0_8F09_E7DEBC62D826_.wvu.FilterData" localSheetId="1" hidden="1">Particularidade!$A$1:$D$244</definedName>
    <definedName name="Z_DFB7C661_5C1D_4491_B5BB_D24125818F62_.wvu.Cols" localSheetId="0" hidden="1">'Controle Empresas'!$C:$F</definedName>
    <definedName name="Z_DFB7C661_5C1D_4491_B5BB_D24125818F62_.wvu.FilterData" localSheetId="0" hidden="1">'Controle Empresas'!$A$1:$N$424</definedName>
    <definedName name="Z_DFB7C661_5C1D_4491_B5BB_D24125818F62_.wvu.FilterData" localSheetId="1" hidden="1">Particularidade!$A$1:$D$244</definedName>
    <definedName name="Z_E504837F_6FC7_4EAF_960F_B65F4C0825E9_.wvu.FilterData" localSheetId="0" hidden="1">'Controle Empresas'!$A$1:$N$424</definedName>
    <definedName name="Z_E7E343AB_EA2A_489D_A4A0_C9134129FE38_.wvu.FilterData" localSheetId="0" hidden="1">'Controle Empresas'!$A$1:$N$424</definedName>
    <definedName name="Z_EA2840B9_4395_4F38_9C2E_B3C8A78F8E87_.wvu.FilterData" localSheetId="0" hidden="1">'Controle Empresas'!$A$1:$N$424</definedName>
    <definedName name="Z_EA2840B9_4395_4F38_9C2E_B3C8A78F8E87_.wvu.FilterData" localSheetId="1" hidden="1">Particularidade!$A$1:$D$244</definedName>
    <definedName name="Z_ED566283_8821_46EE_8EA0_C3D2B1BB1F48_.wvu.FilterData" localSheetId="0" hidden="1">'Controle Empresas'!$A$1:$N$424</definedName>
    <definedName name="Z_ED566283_8821_46EE_8EA0_C3D2B1BB1F48_.wvu.FilterData" localSheetId="1" hidden="1">Particularidade!$A$1:$D$244</definedName>
    <definedName name="Z_F21AE037_2065_4598_A904_BC7EE7877EA0_.wvu.FilterData" localSheetId="0" hidden="1">'Controle Empresas'!$A$1:$N$424</definedName>
    <definedName name="Z_F9062671_6F38_4CE9_A130_2F9204246FB5_.wvu.FilterData" localSheetId="0" hidden="1">'Controle Empresas'!$A$1:$N$424</definedName>
    <definedName name="Z_F9062671_6F38_4CE9_A130_2F9204246FB5_.wvu.FilterData" localSheetId="1" hidden="1">Particularidade!$A$1:$D$244</definedName>
  </definedNames>
  <calcPr calcId="162913"/>
  <customWorkbookViews>
    <customWorkbookView name="Thiago Madeira - Modo de exibição pessoal" guid="{7B976439-AAC9-41C3-BCF0-6D93775196CD}" mergeInterval="0" personalView="1" maximized="1" xWindow="-8" yWindow="-8" windowWidth="1456" windowHeight="876" activeSheetId="1"/>
    <customWorkbookView name="Iaskara Paulino - Modo de exibição pessoal" guid="{DFB7C661-5C1D-4491-B5BB-D24125818F62}" mergeInterval="0" personalView="1" maximized="1" xWindow="-8" yWindow="-8" windowWidth="1456" windowHeight="876" activeSheetId="1"/>
    <customWorkbookView name="Franciele Souza - Modo de exibição pessoal" guid="{52D4489E-F705-44D0-BDD7-2E61E89BBFE2}" mergeInterval="0" personalView="1" maximized="1" xWindow="-8" yWindow="-8" windowWidth="1936" windowHeight="1056" activeSheetId="1"/>
    <customWorkbookView name="Carlos Henrique - Modo de exibição pessoal" guid="{590CEBDA-E7AE-4D8D-8613-56208662CCA9}" mergeInterval="0" personalView="1" maximized="1" xWindow="-8" yWindow="-8" windowWidth="1936" windowHeight="1056" activeSheetId="1"/>
    <customWorkbookView name="Fabienia Paula - Modo de exibição pessoal" guid="{3BCABC4F-4072-4ED9-90CC-E9BE96773387}" mergeInterval="0" personalView="1" maximized="1" xWindow="-8" yWindow="-8" windowWidth="1936" windowHeight="1056" activeSheetId="2"/>
    <customWorkbookView name="Thaiany Antunes - Modo de exibição pessoal" guid="{44627F90-111A-4938-A3EC-3F862F83F7D7}" mergeInterval="0" personalView="1" xWindow="800" windowWidth="800" windowHeight="860" activeSheetId="1"/>
    <customWorkbookView name="Natalia Gerheim - Modo de exibição pessoal" guid="{4AD023DC-4B9E-473F-AB98-4A1747DCD454}" mergeInterval="0" personalView="1" yWindow="124" windowWidth="1360" windowHeight="561" activeSheetId="1"/>
    <customWorkbookView name="Sullaine Nascimento - Modo de exibição pessoal" guid="{EA2840B9-4395-4F38-9C2E-B3C8A78F8E87}" mergeInterval="0" personalView="1" maximized="1" xWindow="-9" yWindow="-9" windowWidth="1938" windowHeight="1050" activeSheetId="1"/>
    <customWorkbookView name="Marcela Mendes - Modo de exibição pessoal" guid="{DAEEB123-9C5D-4BF0-8F09-E7DEBC62D826}" mergeInterval="0" personalView="1" xWindow="26" yWindow="26" windowWidth="1680" windowHeight="1024"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0" i="5" l="1"/>
  <c r="C98" i="4" l="1"/>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171" i="1" l="1"/>
  <c r="C28" i="1"/>
  <c r="C173" i="1"/>
  <c r="C37" i="1"/>
  <c r="C175" i="1"/>
  <c r="C176" i="1"/>
  <c r="C177" i="1"/>
  <c r="C5" i="1"/>
  <c r="C79" i="1"/>
  <c r="C274" i="1"/>
  <c r="C181" i="1"/>
  <c r="C182" i="1"/>
  <c r="C183" i="1"/>
  <c r="C184" i="1"/>
  <c r="C185" i="1"/>
  <c r="C186" i="1"/>
  <c r="C187" i="1"/>
  <c r="C188" i="1"/>
  <c r="C189" i="1"/>
  <c r="C190" i="1"/>
  <c r="C174" i="1"/>
  <c r="C192" i="1"/>
  <c r="C193" i="1"/>
  <c r="C194" i="1"/>
  <c r="C195" i="1"/>
  <c r="C196" i="1"/>
  <c r="C197" i="1"/>
  <c r="C313" i="1"/>
  <c r="C199" i="1"/>
  <c r="C213" i="1"/>
  <c r="C201" i="1"/>
  <c r="C202" i="1"/>
  <c r="C203" i="1"/>
  <c r="C204" i="1"/>
  <c r="C200" i="1"/>
  <c r="C206" i="1"/>
  <c r="C207" i="1"/>
  <c r="C208" i="1"/>
  <c r="C209" i="1"/>
  <c r="C210" i="1"/>
  <c r="C211" i="1"/>
  <c r="C212" i="1"/>
  <c r="C114" i="1"/>
  <c r="C214" i="1"/>
  <c r="C215" i="1"/>
  <c r="C216" i="1"/>
  <c r="C217" i="1"/>
  <c r="C405" i="1"/>
  <c r="C219" i="1"/>
  <c r="C220" i="1"/>
  <c r="C221" i="1"/>
  <c r="C222" i="1"/>
  <c r="C223" i="1"/>
  <c r="C419" i="1"/>
  <c r="C225" i="1"/>
  <c r="C226" i="1"/>
  <c r="C227" i="1"/>
  <c r="C371" i="1"/>
  <c r="C229" i="1"/>
  <c r="C230" i="1"/>
  <c r="C231" i="1"/>
  <c r="C232" i="1"/>
  <c r="C233" i="1"/>
  <c r="C234" i="1"/>
  <c r="C235" i="1"/>
  <c r="C236" i="1"/>
  <c r="C172" i="1"/>
  <c r="C238" i="1"/>
  <c r="C239" i="1"/>
  <c r="C421" i="1"/>
  <c r="C241" i="1"/>
  <c r="C242" i="1"/>
  <c r="C243" i="1"/>
  <c r="C244" i="1"/>
  <c r="C245" i="1"/>
  <c r="C198" i="1"/>
  <c r="C247" i="1"/>
  <c r="C248" i="1"/>
  <c r="C249" i="1"/>
  <c r="C250" i="1"/>
  <c r="C251" i="1"/>
  <c r="C252" i="1"/>
  <c r="C72" i="1"/>
  <c r="C254" i="1"/>
  <c r="C255" i="1"/>
  <c r="C256" i="1"/>
  <c r="C257" i="1"/>
  <c r="C258" i="1"/>
  <c r="C259" i="1"/>
  <c r="C260" i="1"/>
  <c r="C261" i="1"/>
  <c r="C58" i="1"/>
  <c r="C263" i="1"/>
  <c r="C253" i="1"/>
  <c r="C265" i="1"/>
  <c r="C266" i="1"/>
  <c r="C267" i="1"/>
  <c r="C268" i="1"/>
  <c r="C269" i="1"/>
  <c r="C270" i="1"/>
  <c r="C271" i="1"/>
  <c r="C272" i="1"/>
  <c r="C380" i="1"/>
  <c r="C168" i="1"/>
  <c r="C311" i="1"/>
  <c r="C276" i="1"/>
  <c r="C277" i="1"/>
  <c r="C278" i="1"/>
  <c r="C279" i="1"/>
  <c r="C280" i="1"/>
  <c r="C281" i="1"/>
  <c r="C282" i="1"/>
  <c r="C283" i="1"/>
  <c r="C284" i="1"/>
  <c r="C285" i="1"/>
  <c r="C286" i="1"/>
  <c r="C287" i="1"/>
  <c r="C288" i="1"/>
  <c r="C166" i="1"/>
  <c r="C290" i="1"/>
  <c r="C291" i="1"/>
  <c r="C292" i="1"/>
  <c r="C293" i="1"/>
  <c r="C294" i="1"/>
  <c r="C295" i="1"/>
  <c r="C296" i="1"/>
  <c r="C297" i="1"/>
  <c r="C298" i="1"/>
  <c r="C299" i="1"/>
  <c r="C300" i="1"/>
  <c r="C301" i="1"/>
  <c r="C302" i="1"/>
  <c r="C303" i="1"/>
  <c r="C304" i="1"/>
  <c r="C305" i="1"/>
  <c r="C306" i="1"/>
  <c r="C169" i="1"/>
  <c r="C308" i="1"/>
  <c r="C309" i="1"/>
  <c r="C310" i="1"/>
  <c r="C364" i="1"/>
  <c r="C312" i="1"/>
  <c r="C351" i="1"/>
  <c r="C275" i="1"/>
  <c r="C289" i="1"/>
  <c r="C316" i="1"/>
  <c r="C76" i="1"/>
  <c r="C318" i="1"/>
  <c r="C319" i="1"/>
  <c r="C320" i="1"/>
  <c r="C321" i="1"/>
  <c r="C322" i="1"/>
  <c r="C307" i="1"/>
  <c r="C324" i="1"/>
  <c r="C325" i="1"/>
  <c r="C326" i="1"/>
  <c r="C327" i="1"/>
  <c r="C178" i="1"/>
  <c r="C329" i="1"/>
  <c r="C330" i="1"/>
  <c r="C331" i="1"/>
  <c r="C332" i="1"/>
  <c r="C333" i="1"/>
  <c r="C334" i="1"/>
  <c r="C335" i="1"/>
  <c r="C81" i="1"/>
  <c r="C328" i="1"/>
  <c r="C338" i="1"/>
  <c r="C339" i="1"/>
  <c r="C340" i="1"/>
  <c r="C406" i="1"/>
  <c r="C342" i="1"/>
  <c r="C87" i="1"/>
  <c r="C205" i="1"/>
  <c r="C345" i="1"/>
  <c r="C346" i="1"/>
  <c r="C347" i="1"/>
  <c r="C348" i="1"/>
  <c r="C349" i="1"/>
  <c r="C350" i="1"/>
  <c r="C40" i="1"/>
  <c r="C352" i="1"/>
  <c r="C353" i="1"/>
  <c r="C354" i="1"/>
  <c r="C160" i="1"/>
  <c r="C343" i="1"/>
  <c r="C357" i="1"/>
  <c r="C358" i="1"/>
  <c r="C359" i="1"/>
  <c r="C360" i="1"/>
  <c r="C361" i="1"/>
  <c r="C362" i="1"/>
  <c r="C363" i="1"/>
  <c r="C273" i="1"/>
  <c r="C365" i="1"/>
  <c r="C366" i="1"/>
  <c r="C367" i="1"/>
  <c r="C368" i="1"/>
  <c r="C369" i="1"/>
  <c r="C370" i="1"/>
  <c r="C344" i="1"/>
  <c r="C372" i="1"/>
  <c r="C373" i="1"/>
  <c r="C374" i="1"/>
  <c r="C375" i="1"/>
  <c r="C376" i="1"/>
  <c r="C377" i="1"/>
  <c r="C378" i="1"/>
  <c r="C379" i="1"/>
  <c r="C70" i="1"/>
  <c r="C381" i="1"/>
  <c r="C382" i="1"/>
  <c r="C383" i="1"/>
  <c r="C355" i="1"/>
  <c r="C385" i="1"/>
  <c r="C386" i="1"/>
  <c r="C387" i="1"/>
  <c r="C388" i="1"/>
  <c r="C389" i="1"/>
  <c r="C390" i="1"/>
  <c r="C391" i="1"/>
  <c r="C392" i="1"/>
  <c r="C83" i="1"/>
  <c r="C394" i="1"/>
  <c r="C395" i="1"/>
  <c r="C396" i="1"/>
  <c r="C156" i="1"/>
  <c r="C401" i="1"/>
  <c r="C179" i="1"/>
  <c r="C180" i="1"/>
  <c r="C124" i="1"/>
  <c r="C407" i="1"/>
  <c r="C408" i="1"/>
  <c r="C415" i="1"/>
  <c r="C416" i="1"/>
  <c r="C417" i="1"/>
  <c r="C418" i="1"/>
  <c r="C323" i="1"/>
  <c r="C393" i="1"/>
  <c r="C240" i="1"/>
  <c r="C422" i="1"/>
  <c r="C423" i="1"/>
  <c r="C424" i="1"/>
  <c r="C404" i="1"/>
  <c r="C6" i="1"/>
  <c r="C7" i="1"/>
  <c r="C8" i="1"/>
  <c r="C9" i="1"/>
  <c r="C10" i="1"/>
  <c r="C11" i="1"/>
  <c r="C12" i="1"/>
  <c r="C13" i="1"/>
  <c r="C14" i="1"/>
  <c r="C15" i="1"/>
  <c r="C16" i="1"/>
  <c r="C17" i="1"/>
  <c r="C224" i="1"/>
  <c r="C19" i="1"/>
  <c r="C20" i="1"/>
  <c r="C21" i="1"/>
  <c r="C22" i="1"/>
  <c r="C23" i="1"/>
  <c r="C24" i="1"/>
  <c r="C25" i="1"/>
  <c r="C26" i="1"/>
  <c r="C27" i="1"/>
  <c r="C191" i="1"/>
  <c r="C29" i="1"/>
  <c r="C30" i="1"/>
  <c r="C31" i="1"/>
  <c r="C140" i="1"/>
  <c r="C33" i="1"/>
  <c r="C34" i="1"/>
  <c r="C35" i="1"/>
  <c r="C36" i="1"/>
  <c r="C47" i="1"/>
  <c r="C162" i="1"/>
  <c r="C228" i="1"/>
  <c r="C314" i="1"/>
  <c r="C41" i="1"/>
  <c r="C42" i="1"/>
  <c r="C43" i="1"/>
  <c r="C44" i="1"/>
  <c r="C45" i="1"/>
  <c r="C46" i="1"/>
  <c r="C315" i="1"/>
  <c r="C152" i="1"/>
  <c r="C49" i="1"/>
  <c r="C50" i="1"/>
  <c r="C51" i="1"/>
  <c r="C52" i="1"/>
  <c r="C53" i="1"/>
  <c r="C54" i="1"/>
  <c r="C55" i="1"/>
  <c r="C56" i="1"/>
  <c r="C57" i="1"/>
  <c r="C262" i="1"/>
  <c r="C59" i="1"/>
  <c r="C60" i="1"/>
  <c r="C61" i="1"/>
  <c r="C62" i="1"/>
  <c r="C63" i="1"/>
  <c r="C64" i="1"/>
  <c r="C65" i="1"/>
  <c r="C66" i="1"/>
  <c r="C67" i="1"/>
  <c r="C68" i="1"/>
  <c r="C69" i="1"/>
  <c r="C397" i="1"/>
  <c r="C71" i="1"/>
  <c r="C167" i="1"/>
  <c r="C73" i="1"/>
  <c r="C74" i="1"/>
  <c r="C75" i="1"/>
  <c r="C336" i="1"/>
  <c r="C77" i="1"/>
  <c r="C78" i="1"/>
  <c r="C170" i="1"/>
  <c r="C80" i="1"/>
  <c r="C317" i="1"/>
  <c r="C82" i="1"/>
  <c r="C237" i="1"/>
  <c r="C384" i="1"/>
  <c r="C85" i="1"/>
  <c r="C86" i="1"/>
  <c r="C264" i="1"/>
  <c r="C88" i="1"/>
  <c r="C89" i="1"/>
  <c r="C90" i="1"/>
  <c r="C91" i="1"/>
  <c r="C92" i="1"/>
  <c r="C93" i="1"/>
  <c r="C94" i="1"/>
  <c r="C95" i="1"/>
  <c r="C96" i="1"/>
  <c r="C97" i="1"/>
  <c r="C98" i="1"/>
  <c r="C99" i="1"/>
  <c r="C100" i="1"/>
  <c r="C101" i="1"/>
  <c r="C102" i="1"/>
  <c r="C103" i="1"/>
  <c r="C104" i="1"/>
  <c r="C105" i="1"/>
  <c r="C341" i="1"/>
  <c r="C107" i="1"/>
  <c r="C108" i="1"/>
  <c r="C109" i="1"/>
  <c r="C110" i="1"/>
  <c r="C111" i="1"/>
  <c r="C112" i="1"/>
  <c r="C113" i="1"/>
  <c r="C84" i="1"/>
  <c r="C115" i="1"/>
  <c r="C116" i="1"/>
  <c r="C117" i="1"/>
  <c r="C118" i="1"/>
  <c r="C119" i="1"/>
  <c r="C120" i="1"/>
  <c r="C121" i="1"/>
  <c r="C122" i="1"/>
  <c r="C123" i="1"/>
  <c r="C246" i="1"/>
  <c r="C125" i="1"/>
  <c r="C126" i="1"/>
  <c r="C127" i="1"/>
  <c r="C128" i="1"/>
  <c r="C129" i="1"/>
  <c r="C130" i="1"/>
  <c r="C131" i="1"/>
  <c r="C132" i="1"/>
  <c r="C133" i="1"/>
  <c r="C134" i="1"/>
  <c r="C135" i="1"/>
  <c r="C136" i="1"/>
  <c r="C137" i="1"/>
  <c r="C138" i="1"/>
  <c r="C139" i="1"/>
  <c r="C106" i="1"/>
  <c r="C141" i="1"/>
  <c r="C142" i="1"/>
  <c r="C143" i="1"/>
  <c r="C144" i="1"/>
  <c r="C145" i="1"/>
  <c r="C146" i="1"/>
  <c r="C147" i="1"/>
  <c r="C148" i="1"/>
  <c r="C149" i="1"/>
  <c r="C150" i="1"/>
  <c r="C151" i="1"/>
  <c r="C420" i="1"/>
  <c r="C153" i="1"/>
  <c r="C154" i="1"/>
  <c r="C155" i="1"/>
  <c r="C218" i="1"/>
  <c r="C157" i="1"/>
  <c r="C158" i="1"/>
  <c r="C159" i="1"/>
  <c r="C356" i="1"/>
  <c r="C161" i="1"/>
  <c r="C48" i="1"/>
  <c r="C163" i="1"/>
  <c r="C164" i="1"/>
  <c r="C165" i="1"/>
  <c r="C32" i="1"/>
  <c r="C18" i="1"/>
  <c r="C38" i="1"/>
  <c r="C39" i="1"/>
  <c r="C2" i="1"/>
  <c r="C3" i="1"/>
  <c r="C4" i="1"/>
  <c r="C337" i="1"/>
  <c r="D7" i="3" l="1"/>
  <c r="D3" i="3"/>
  <c r="D4" i="3"/>
  <c r="D5" i="3"/>
  <c r="D6" i="3"/>
  <c r="E6" i="3"/>
  <c r="E4" i="3" l="1"/>
  <c r="E5" i="3"/>
  <c r="E7" i="3"/>
  <c r="E3" i="3"/>
  <c r="C4" i="3"/>
  <c r="C5" i="3"/>
  <c r="C6" i="3"/>
  <c r="C7" i="3"/>
  <c r="C3" i="3"/>
</calcChain>
</file>

<file path=xl/sharedStrings.xml><?xml version="1.0" encoding="utf-8"?>
<sst xmlns="http://schemas.openxmlformats.org/spreadsheetml/2006/main" count="4341" uniqueCount="1868">
  <si>
    <t>Codigos Empresas</t>
  </si>
  <si>
    <t>Empresas</t>
  </si>
  <si>
    <t>K. K. L. VIANNA</t>
  </si>
  <si>
    <t>TOP MEL</t>
  </si>
  <si>
    <t>ZRC CONSTRUTORA</t>
  </si>
  <si>
    <t>CARVALHO BONSANTO</t>
  </si>
  <si>
    <t>RITA DE CASSIA</t>
  </si>
  <si>
    <t>MOSTARDA PROPAGANDA</t>
  </si>
  <si>
    <t>MOHENY - JF</t>
  </si>
  <si>
    <t>BARRA &amp; ALVES</t>
  </si>
  <si>
    <t>RICARDO MACHADO</t>
  </si>
  <si>
    <t>DONEC CONSULTORIA</t>
  </si>
  <si>
    <t>BONIN ARQUITETURA</t>
  </si>
  <si>
    <t>WINDSOR PRESENTES</t>
  </si>
  <si>
    <t>ANDRE L. C. DE ARAUJO</t>
  </si>
  <si>
    <t>CARTA CURINGA BRASILIA</t>
  </si>
  <si>
    <t>MULTIPLA SAUDE</t>
  </si>
  <si>
    <t>ISADORA M. BATALHA - ME</t>
  </si>
  <si>
    <t>THATIANA TORRES DOS REIS 08408277685</t>
  </si>
  <si>
    <t>ADRIANA DUQUE DE FREITAS</t>
  </si>
  <si>
    <t>IBR CONSULTORIA</t>
  </si>
  <si>
    <t>AFONSO CELSO ROTONDO</t>
  </si>
  <si>
    <t>LILIANE GRAZINOLI ALVES</t>
  </si>
  <si>
    <t>FELIPE WIGAND BRAMMER</t>
  </si>
  <si>
    <t>FABIO NOVAIS TEOFILO</t>
  </si>
  <si>
    <t>R. R. ALBUQUERQUE</t>
  </si>
  <si>
    <t>LUIZ KHOURY JOSE</t>
  </si>
  <si>
    <t>VANIA F GAGLIARDI</t>
  </si>
  <si>
    <t>ANA LUIZA AFONSO FAGUNDES</t>
  </si>
  <si>
    <t xml:space="preserve">RAIDEL DE SOUZA  FILIAL                                                 27.970.910/0002-34                   COMERCIO/MOTORISTA    OUTUBRO/MAIO </t>
  </si>
  <si>
    <t>DENIZ GOMES DA SILVA</t>
  </si>
  <si>
    <t>RAISA POLATO DE LIMA</t>
  </si>
  <si>
    <t>GOMES &amp; GOMES ENGENHARIA E CONSULTORIA</t>
  </si>
  <si>
    <t>ANDERSON LAIER LOPES</t>
  </si>
  <si>
    <t>QUESTÃO CABINES</t>
  </si>
  <si>
    <t>WARLEY STEFANY NUNES</t>
  </si>
  <si>
    <t>CRISTIANO DIAS</t>
  </si>
  <si>
    <t>MARCIA REGINA (SOCIA BIOLIFE)</t>
  </si>
  <si>
    <t>Particularidade</t>
  </si>
  <si>
    <t>N</t>
  </si>
  <si>
    <t>MEI</t>
  </si>
  <si>
    <t>S</t>
  </si>
  <si>
    <t>s</t>
  </si>
  <si>
    <t>SM</t>
  </si>
  <si>
    <t>Responsável a partir de 
02/2017</t>
  </si>
  <si>
    <t>THAI</t>
  </si>
  <si>
    <t>IASK</t>
  </si>
  <si>
    <t>FABI</t>
  </si>
  <si>
    <t>MAR</t>
  </si>
  <si>
    <t>Tem Funcionario</t>
  </si>
  <si>
    <t>SAIU/BAIXADO</t>
  </si>
  <si>
    <t>s/m</t>
  </si>
  <si>
    <t>S/M</t>
  </si>
  <si>
    <t>DOMÉSTICO</t>
  </si>
  <si>
    <t>SIMEI</t>
  </si>
  <si>
    <t>simei</t>
  </si>
  <si>
    <t>nº de Funcionários</t>
  </si>
  <si>
    <t>PRO-LABORE</t>
  </si>
  <si>
    <t>saiu</t>
  </si>
  <si>
    <t>SAIU</t>
  </si>
  <si>
    <t>Prazo</t>
  </si>
  <si>
    <t>Forma de Envio</t>
  </si>
  <si>
    <t>Serviços</t>
  </si>
  <si>
    <t>SITE</t>
  </si>
  <si>
    <t xml:space="preserve">Folha e Pro labore (   )
INSS (   )
</t>
  </si>
  <si>
    <t>Pro labore (   )
INSS (   )
GFIP (   )</t>
  </si>
  <si>
    <t xml:space="preserve">Pro labore (   )
INSS (   )
GFIP (   ) sem movimento desde incio do ano
</t>
  </si>
  <si>
    <t>FÍSICO</t>
  </si>
  <si>
    <t>saiu 01/2019</t>
  </si>
  <si>
    <t>Folha, recibo estagiário e Pro labore (   )
INSS (   )
FGTS e GFIP (   )
Vale transporte (   ) Dia 23
Recibo Astransp (   ) 
IRRF (   ) (  ) Tem Vale alimentação Dia 23
Tem Plano de Saúde e dentário. Jaqueline  tem cargo de confiança</t>
  </si>
  <si>
    <t>E-MAIL</t>
  </si>
  <si>
    <t>Folha e Pro labore (   )
INSS (   )
FGTS e GFIP (   ) Perguntar por volta do dia 25 se tem  hr extra. Até dia 30, tem Plano saude e vale alimentação.</t>
  </si>
  <si>
    <t>BAIXADA EM 01.2020</t>
  </si>
  <si>
    <t>sem movimento desde 01/2016</t>
  </si>
  <si>
    <t xml:space="preserve">Adiantamento junto com a folha (   )
Folha e Pro labore (   )
INSS (   )    BOLETO VT (   ) Começamos a gerar no mês 05/2019
FGTS e GFIP (   )
Tem auxilio alimentação (   )Tem pensão alimenticia; e Seguro de Vida. Pagamento deve ser feito até o dia 30
Vt é feito recarga na empresa (desconta 6% em folha) </t>
  </si>
  <si>
    <t>ENTREGAR</t>
  </si>
  <si>
    <t xml:space="preserve">Pro labore (   ) 
INSS (   )
GFIP (   ) </t>
  </si>
  <si>
    <t xml:space="preserve">Folha e Pro labore (   )
INSS (   )  
FGTS e GFIP (   )
VT (   ) 2 VT de seg a sexta                 </t>
  </si>
  <si>
    <t>VEM BUSCAR</t>
  </si>
  <si>
    <t>Folha (   )
INSS (   )
FGTS e GFIP (   )
Assiduidade (   )
Tem horista</t>
  </si>
  <si>
    <t>Folha (   )
INSS (   )
FGTS e GFIP (   )
Vale transporte (   )
Recibo Astransp Jeanne e Luciana (   ) 2ª a 6ª                               Lilia vt manual (      )
Tem hr extra</t>
  </si>
  <si>
    <t>Pro labore (   )
INSS (   )
GFIP (   )                                                                                                                                                         SEM MOVIMENTO</t>
  </si>
  <si>
    <t xml:space="preserve">Pro labore (   )
INSS (   )
GFIP (   )        IRRF (  )
</t>
  </si>
  <si>
    <t>saiu 01.2019</t>
  </si>
  <si>
    <t>sem movimento desde 03/2016</t>
  </si>
  <si>
    <t>Adiantamento (   )
Folha e Pro labore (   )
INSS (   )
FGTS e GFIP (   )  (    ) Recibo manual de alimentação
Pagamento deve ser até dia 5; Tem funções insalubres,Tem alimentação; e passa hr extra e faltas.</t>
  </si>
  <si>
    <t>Pro labore (   )
INSS (   )
GFIP (   )
CONFIRMAR SE TEVE EMISSÃO DE NF PRA GERAR O MOVIMENTO</t>
  </si>
  <si>
    <t>Parcelamento de INSS (   )</t>
  </si>
  <si>
    <r>
      <t xml:space="preserve">Pro labore (   )
INSS (   )  DISTRATO 01.2020
GFIP (   ) </t>
    </r>
    <r>
      <rPr>
        <sz val="8"/>
        <color rgb="FFFF0000"/>
        <rFont val="Calibri"/>
        <family val="2"/>
        <scheme val="minor"/>
      </rPr>
      <t/>
    </r>
  </si>
  <si>
    <t>Folha e Pro labore (   ) Contribuição (   )
INSS (   )
FGTS e GFIP (  )
Tem multiplos Vínculos .Boleto vt (  )</t>
  </si>
  <si>
    <t>Ficou definido enviar uma GFIP sem movimento em 01/2016, por que Oneximo informou ao antonio, que os empregados já não trabalham mais na empresa. Que não receberam as rescisões e que está na Justiça para regularizar essa situação.</t>
  </si>
  <si>
    <t>SAIU 12/2018</t>
  </si>
  <si>
    <t>SEM MOVIMENTO DESDE 06/2014</t>
  </si>
  <si>
    <t xml:space="preserve">Folha e Pro labore (   )
INSS (   )
FGTS e GFIP (   )
Desconta aluguel; </t>
  </si>
  <si>
    <t>Adiantamento (   ) PERGUNTAR
Folha e Pro labore (   )
INSS (   )
FGTS e GFIP (   )
Tem hr extra e faltas</t>
  </si>
  <si>
    <t>Folha e Pro labore (   )  
INSS (   )
FGTS e GFIP (   )
PIS s/ folha (   )  Guia Issqn  site da prefeitura  autonomo (    )
(      ) ISSQN  quando tem Rpa          Tem plano de saúde; Seguro de vida; Fazer guias separadas de autonomos e funcionários; Entregar mov na parte da manhã.</t>
  </si>
  <si>
    <t>Folha e Pro labore (    )           contrib. Neg. (   )
INSS (   ) saiu 02/2019
FGTS e GFIP (   )
Vale transporte (   ) 2 por dia segunda a sábado
Recibo Astransp (   )
Entregar movimento até dia 28</t>
  </si>
  <si>
    <t>Folha e Pro labore (   )  
INSS (   )
FGTS e GFIP (   )
Lançar faltas de 30 dias pra Joyce, zerar a folha dela. Até dia 30.</t>
  </si>
  <si>
    <t xml:space="preserve">Folha e pro labore (   )
INSS (   )
GFIP (   )                                                                                                                   </t>
  </si>
  <si>
    <t xml:space="preserve">Folha e Pro labore (   )
INSS (   )
FGTS e GFIP (   )   </t>
  </si>
  <si>
    <t>Folha e Pro labore (   )
INSS (   )
FGTS e GFIP (   )  
ADIANTAMENTO (    )
Boleto Vt (   )</t>
  </si>
  <si>
    <t xml:space="preserve">Folha e Pro labore (   ) Até o dia 30
INSS (   )
FGTS e GFIP (   )                                                                                                                                                    (  ) Adiantamento </t>
  </si>
  <si>
    <t xml:space="preserve">
Folha e Pro labore (   )
INSS (   )
FGTS e GFIP (   )
</t>
  </si>
  <si>
    <t>baixada 14/08/2019</t>
  </si>
  <si>
    <t>Folha e Pro labore (   )
INSS (   )
FGTS e GFIP (   ) SAIU 03/2019
Tx negocial (   )
Enviar movimento até dia 30.</t>
  </si>
  <si>
    <t>site</t>
  </si>
  <si>
    <t>Folha e Pro labore (   )
INSS (   )
FGTS e GFIP (   )
Vale Transporte (   ) SAIU 02.2019
IRRF (   )
Tem Plano de Saúde 
Tem hr extra; Tem reembolso de creche;  Tem comissão</t>
  </si>
  <si>
    <t xml:space="preserve">Folha e Pro labore (   )          INSS (   )
FGTS e GFIP (   )
Vale Transporte (   ) Até dia 30  passa os valores no fechamento da folha quantidades
Recibo Astransp (   ) Até dia 30
</t>
  </si>
  <si>
    <t>Pro labore (   ) saiu 01.2019
INSS (   )
GFIP (   )
Verificar se teve movimento pra fazer pro labore.</t>
  </si>
  <si>
    <t>Folha 
INSS (   )
FGTS e GFIP (   )</t>
  </si>
  <si>
    <t>Folha e Pro labore (   )
INSS (   )
FGTS e GFIP (   )
Recibo Astransp  Enviar até dia 25 de cada mês(   )
IRRF (   ) Parc. Ecac(    )
Tem hr extra. Tem plano de saúde relatorio plasc login 3215 senha cnpj</t>
  </si>
  <si>
    <t>BAIXADA EM 21/12/2018</t>
  </si>
  <si>
    <t>Folha e Pro labore (   )   Adiantamento 40% (  )
INSS (   ) 
GFIP (   )s/m após abertura da bdp</t>
  </si>
  <si>
    <t>Pro labore (   ) 
INSS (   )  
GFIP (   )  BAIXADA EM 07/2019 . Enviar GFIP SM</t>
  </si>
  <si>
    <t>Pro labore (   )
INSS (   ) sm 09.2018
GFIP (   )</t>
  </si>
  <si>
    <t>Pro labore (   )
INSS (   )
GFIP (   )                                                     IR (  )</t>
  </si>
  <si>
    <t xml:space="preserve">Pro labore (   )
INSS (   )    
GFIP (   )   </t>
  </si>
  <si>
    <t>GFIP (   ) s/m 09/2018 verificar se emitiu NF de venda no fiscal</t>
  </si>
  <si>
    <t xml:space="preserve">Adiantamento (   ) até dia 15 - não enviar junto com a folha
Folha e Pro labore (   )
INSS (   )     IRRF (  )
FGTS e GFIP (   )   
               Vt vai ser feito aqui  do quinto dia util ate o quinto dia do proximo mes.            Vale alimentação   sera feito aqui e é o mesmo esquema deo vt 5º util ate 5º util.   </t>
  </si>
  <si>
    <t>Pro labore (   )
INSS (    baixada 02/09/19
GFIP (   )</t>
  </si>
  <si>
    <t>Folha e Pro labore (   )   
Adiantamento (  )
INSS (   )
FGTS e GFIP (   )  Descontar Plano saude Plasc do socio Jose Hailton Login nas particularidades
Recarga de VT é feito pela Marilande</t>
  </si>
  <si>
    <t xml:space="preserve">Folha e Pro labore (   )
INSS (   )
FGTS e GFIP (   )      Manda relatorio plano de saude.Desconta apenas dos dependentes e dos funcionários os gastos.Mensalidade não.
Vale Transporte (   )   Adiantamento passa valores (    )
Recibo Astransp (   ) até dia 27                                                                                                                                                  </t>
  </si>
  <si>
    <t>Pro labore (   ) 
INSS (   )
GFIP (   )</t>
  </si>
  <si>
    <t>Recibo e - social (   )                                                                                                         Guia e-social (   )</t>
  </si>
  <si>
    <t xml:space="preserve">Recibo e-social (   )                                     Guia e-social (   )  </t>
  </si>
  <si>
    <t>Folha e Pro labore (   )
INSS (   )
FGTS e GFIP (   )
Tem escala de 12X36; passa funcionários que trabalharam em feriados; e tem add noturno e insalubridade</t>
  </si>
  <si>
    <t xml:space="preserve">Folha e Pro labore (   )
INSS (   )
FGTS e GFIP (   )
(   ) BOLETO VT 
  (   ) ADIANTAMENTO 40%
</t>
  </si>
  <si>
    <t xml:space="preserve">Folha e-social (   )
Guia e-social (   )
Postar movimento na empresa 749 Santa Maria
</t>
  </si>
  <si>
    <t xml:space="preserve">Folha e Pro labore (   )
INSS (   )   (   ) IR
FGTS e GFIP (   )
</t>
  </si>
  <si>
    <t xml:space="preserve">Folha  (    )
INSS (   )
FGTS e GFIP (   )
IRRF (   )    PIS SOBRE FOLHA  (  )
</t>
  </si>
  <si>
    <t>Folha (  )
INSS (   )
FGTS e GFIP (   )                                                                                                                                        ESTÁ SEM MOVIMENTO desde 03/2017</t>
  </si>
  <si>
    <t>Folha (  )
INSS (   )
FGTS e GFIP (   )                                                                                                                                        ESTÁ SEM MOVIMENTO</t>
  </si>
  <si>
    <t>Folha (  )
INSS (   )
FGTS e GFIP (   )                                                                                                                                      ESTÁ SEM MOVIMENTO</t>
  </si>
  <si>
    <t>Folha e Pro labore (   )
INSS (   )
FGTS e GFIP (   )</t>
  </si>
  <si>
    <t>Pro labore (   )
INSS (   ) DISTRATO 01.2020
GFIP (   )</t>
  </si>
  <si>
    <t xml:space="preserve">Folha e-social (   ) 11/2018 demissão
Guia e-social (   )
</t>
  </si>
  <si>
    <t xml:space="preserve">Folha ( )   Esocial doméstico </t>
  </si>
  <si>
    <t>Folha (   )
INSS (   )
FGTS e GFIP (   )    Enviar com: Luciane de Souza e o E social</t>
  </si>
  <si>
    <t xml:space="preserve">(  ) Pro labore  (  ) INSS   ( )FGTS             Adiantamento 40% ( )             (    ) BOLETO VT   </t>
  </si>
  <si>
    <t>Folha e Pro Labore (    )          
INSS (   )                                                                                                                                                 IRRF (    )
FGTS e GFIP (   )
Férias coletivas dezembro-10 dias.Tem plano de saude.Logim e senha nas particularidades</t>
  </si>
  <si>
    <t>Folha e pro labore (   )
INSS (   )  Vale Transporte (   )
GFIP (   )  Vale Alimentação (  )</t>
  </si>
  <si>
    <t xml:space="preserve">INSS (   ) </t>
  </si>
  <si>
    <t>Sem movimento desde 09/2016 - 31/07/2018</t>
  </si>
  <si>
    <t>Folha e Pro labore (   )
INSS (   ) -
FGTS e GFIP (    )         VT (     )  envia no fechamento a quantidade  para recarga - Até dia 30</t>
  </si>
  <si>
    <t>Folha e Pro Labore (    )          
INSS (   )   PARCELAMENTO INSS (     )                                                                                                                                              IRRF (    )
FGTS e GFIP (   )
Adiantamento (   )  (  ) FOLHA DE PONTO     Tem plano de saude e odontológico</t>
  </si>
  <si>
    <t>Folha e Pro labore (   )
INSS (   )
FGTS e GFIP (   )  
 IR (   ) 06/2012 GFIP SM</t>
  </si>
  <si>
    <t xml:space="preserve">Folha e Pro labore (   )
INSS (   )
FGTS e GFIP (   ) </t>
  </si>
  <si>
    <t>Folha e Pro labore (   )
INSS (   )   GFIP S/M 07.2017
FGTS e GFIP (   )</t>
  </si>
  <si>
    <t xml:space="preserve">Folha e Pro labore (   )
INSS (   )                                                   
FGTS e GFIP (   )
</t>
  </si>
  <si>
    <t>Pro labore (   )
INSS (   )SAINDO 08.2019</t>
  </si>
  <si>
    <t xml:space="preserve">Folha e Pro labore (   )  
INSS (   )
FGTS e GFIP (   )                   Boleto astransp (    )       </t>
  </si>
  <si>
    <t>Pro labore (   )
INSS (   )
GFIP (   )     IRRF (   )</t>
  </si>
  <si>
    <t>Folha e Pro labore (   )
INSS (   ) estagiarios e uma funcionária meio expediente
FGTS e GFIP (    )   Parc. Ecac (    )</t>
  </si>
  <si>
    <t xml:space="preserve">Pro labore (   )
INSS (   )
GFIP (   ) </t>
  </si>
  <si>
    <t xml:space="preserve">Pro labore (   )   Recibo mensal  (    )
INSS (   )
GFIP (   ) </t>
  </si>
  <si>
    <t>GFIP S/M 10.2017</t>
  </si>
  <si>
    <t>Estagiaria (  ) Recarga e Boleto Astransp  (  ) Recibo Mensal</t>
  </si>
  <si>
    <t>baixada 02/04/2019</t>
  </si>
  <si>
    <t>Folha e Pro labore (   )                                         (  ) ADIANTAMENTO
INSS (   )                    
FGTS e GFIP (   ) - Funcionários não tem desconto de contribuição Assistencial.verificar folha 02/2020 se vai ter moviemtno</t>
  </si>
  <si>
    <t>(   ) Recibo  (   ) INSS   (    ) FGTS                (   )Boleto Astransp  (     ) Contr.                                         Aguardar variáveis para folha SAIU 03.2019</t>
  </si>
  <si>
    <t xml:space="preserve">Recibo e-social (   )                                    sem funcionário                                                              Guia e-social (   )                                                                                              FOLHA DE PONTO (  )                                                                                      Login 33049319615 senha 123456                                         </t>
  </si>
  <si>
    <t>Recibo (   ) Inss  (   )  Gfip             Funcionário não tem vt.</t>
  </si>
  <si>
    <t xml:space="preserve">  01/07/2018 SDOMESTICA</t>
  </si>
  <si>
    <t xml:space="preserve">Folha (  )     VT (  )
INSS (   )
FGTS e GFIP (   )                                            Plano de saúde sócios (   )                                                                                                                          </t>
  </si>
  <si>
    <t xml:space="preserve">(  ) Folha e Pro-labore                                                                                                              (   ) GPS              (    )  Adiantamento  manda junto com a folha                                                                                                                               (   ) FGTS e GFIP                                                                       (    ) IRRF    Recarga  feita na empresa desconta 6% na  folha Guia de Parcelamento  Ecac  (      )                                                                                                                                </t>
  </si>
  <si>
    <t xml:space="preserve">Pro labore (   )
INSS (   ) 
GFIP (   ) </t>
  </si>
  <si>
    <t xml:space="preserve">Pro labore (   )
INSS (   )
GFIP (   )   </t>
  </si>
  <si>
    <t xml:space="preserve">(  ) Folha e Pro-labore                                                                                                              (   ) GPS                                                                                                                                                (   ) FGTS e GFIP         S/m 07/2018                                                                                                                                                                                                                                     </t>
  </si>
  <si>
    <t xml:space="preserve">Pro labore (   )
INSS (   )
GFIP (   )    </t>
  </si>
  <si>
    <t>Pro Labore (  )      INSS (  ) Gfip (  )</t>
  </si>
  <si>
    <t xml:space="preserve">Pro labore (   )
INSS (   )
GFIP (   )     (  ) IRRF </t>
  </si>
  <si>
    <t xml:space="preserve">Pro labore (   )
INSS (   )
GFIP (   )     </t>
  </si>
  <si>
    <t xml:space="preserve">Folha (  )                                
INSS (   )
FGTS e GFIP (   )     Boleto astransp (   )                                                                                                           </t>
  </si>
  <si>
    <t xml:space="preserve">(  ) Folha e Pro-labore                                                                                                              (   ) GPS                                                                                                                                                                 (   ) FGTS e GFIP                                                                                                             (   ) VT                                                                                                                                                                                                                         </t>
  </si>
  <si>
    <t xml:space="preserve">(  ) Folha e Pro-labore  (   ) Adiantamento                                                                                                         (   ) GPS       (  )  boleto vt                                                                                                             (   ) FGTS e GFIP                                                                                                                                                                                                                    </t>
  </si>
  <si>
    <t xml:space="preserve">(  ) Folha e Pro-labore  (    ) Adiantamento                                                                                                         (   ) GPS     (  ) Boleto vt                                                                                                                         (   ) FGTS e GFIP                                                                                                                                                                                                                    </t>
  </si>
  <si>
    <t>Pro labore (   )   Recibo mensal  (    )
INSS (   )         INSS ROYALTS cod 2500  (   )
GFIP (   )   vt e mandado apenas valor e quantidade no whatzap</t>
  </si>
  <si>
    <t xml:space="preserve">Pro labore (   )
INSS (   ) vt (  )   Boleto(   ) 
GFIP (   )     VERIFICAR SE É PARA PASSAR SEFIP SEM MOV. EM 01/2019         saiu 01/2019  </t>
  </si>
  <si>
    <t>Recibo e-social  (   )
Simples Doméstico (   )       VT 2 por dia (    )  CPF 13675591620   SENHA 12345 sem funcionário</t>
  </si>
  <si>
    <t xml:space="preserve">Recibo e-social  (   )  VALE TRANSPORTE 2vt de seg a sext - Bilhete Único </t>
  </si>
  <si>
    <t>Pro labore (   )
INSS (   )
GFIP (   )    (  )  Boleto de vt   (    ) Adiantamento</t>
  </si>
  <si>
    <t xml:space="preserve">Recibo e-social (   )                             Guia e-social (   )  </t>
  </si>
  <si>
    <t xml:space="preserve">Pro labore (   )
INSS (   ) DISTRATO 01.2020
GFIP (   )    </t>
  </si>
  <si>
    <t>voltou para MEI 01/2020</t>
  </si>
  <si>
    <t xml:space="preserve">Folha (  )
FGTS e GFIP (   )        Tem assiduidade.                                                                                                                                                                                                                                                                                    </t>
  </si>
  <si>
    <t>Recibo e-social (   )                             Guia e-social (   )   sem domestica</t>
  </si>
  <si>
    <t>Pro labore (   )  
INSS (   )
GFIP (   )          Vale transporte (      )</t>
  </si>
  <si>
    <t>(   ) PRO LABORE      (   ) INSS        (   )GFIP  passa fechamento,horas extras</t>
  </si>
  <si>
    <t>(   ) PRO LABORE      (   ) INSS        (   )GFIP passa fechamento horas extras              (    ) Parcelamento  TEM PARC NO REGULARIZE (  )</t>
  </si>
  <si>
    <t>MEI SM 03.2019</t>
  </si>
  <si>
    <t xml:space="preserve">Recibo e-social (   )                             Guia e-social (   ) Ela mesma ficou responsavel em fazer a folha a partir da comp 10/2019  </t>
  </si>
  <si>
    <t>Recibo e-social (   )                             Guia e-social (   )                                          (  ) Bilhete Único de seg. a sex e não desconta em folha    sem funcionário</t>
  </si>
  <si>
    <t>Pro labore (   )
INSS (   ) está em manutenção a partir 06.2019
GFIP (   )      saiu 08.2019</t>
  </si>
  <si>
    <t xml:space="preserve">Folha (  )
FGTS e GFIP (   )                                         Desc. 6% mas não geramos boleto                            </t>
  </si>
  <si>
    <t>sm 03.2019</t>
  </si>
  <si>
    <t>Recibo e-social (   )                                                                                           Guia e-social (   )                                                                                               VALE TRANSPORTE (    Bilheteunico</t>
  </si>
  <si>
    <t>Folha (   )
INSS (   )
GFIP (   )      Distrato em 01.2020</t>
  </si>
  <si>
    <t xml:space="preserve">Recibo e-social (   )                                                         Guia e-social (   )  </t>
  </si>
  <si>
    <t>ENVIAR gfip s/m 05/2019</t>
  </si>
  <si>
    <t xml:space="preserve">Pro labore (   )  
INSS (   )
GFIP (   )                  </t>
  </si>
  <si>
    <t>INSS (   )</t>
  </si>
  <si>
    <t xml:space="preserve">Folha (   )                                
INSS (   )
GFIP (  )     </t>
  </si>
  <si>
    <t xml:space="preserve">Folha e Pro labore (   )                                
INSS (   )
GFIP (  ) 
</t>
  </si>
  <si>
    <t xml:space="preserve">Folha e Pro labore (   )                                
INSS (   )
GFIP (  ) Inicio 08/2019
</t>
  </si>
  <si>
    <t>Pro labore (   )  
INSS (   )
GFIP (   )         VT  (   )      ADIANTAMENTO (    )</t>
  </si>
  <si>
    <t>Folha e Pro labore (   )                                
INSS (   )          GFIP (   )              Passa Horas Extras    (   ) VT</t>
  </si>
  <si>
    <t>E social</t>
  </si>
  <si>
    <t>E social JAQUELINE FEZ RESCISAO EM 10/2019</t>
  </si>
  <si>
    <t xml:space="preserve">Folha e Pro labore (   )                                
INSS (   )
GFIP (  )
</t>
  </si>
  <si>
    <t xml:space="preserve">Folha e Pro labore (   )                                
INSS (   )
GFIP (  ) 08.2019 vinda de outro contador
</t>
  </si>
  <si>
    <t xml:space="preserve">Folha e Pro labore (   )  Boleto Vt (  )                           </t>
  </si>
  <si>
    <t xml:space="preserve">Folha e Pro labore (   )                                
INSS (   )
GFIP (  )      Adiantamento(   )
</t>
  </si>
  <si>
    <t>Folha e Pro labore (   )                                
INSS (   )
GFIP (  )
Adiantamento fixo verificar  (    )</t>
  </si>
  <si>
    <t>S/M 09/2019 Ficará paralisada por enquanto baixada em 12.2019</t>
  </si>
  <si>
    <t>s/m 09/2019</t>
  </si>
  <si>
    <t xml:space="preserve">Folha e Pro labore (   )                                
INSS (   )
GFIP (  )      </t>
  </si>
  <si>
    <t xml:space="preserve">Folha e Pro labore (   )                                
INSS (   )
GFIP (  ) 
Não tem INSS, já recolhe teto máximo </t>
  </si>
  <si>
    <t>Pro labore (   )  
INSS (   )
GFIP (   )                 Inicio 11/2019 verificar faturamento anexo IV - Fator R</t>
  </si>
  <si>
    <t>Pro labore (   )  
INSS (   )
GFIP (   )                 Inicio 11/2019  verificar faturamento anexo IV - Fator R</t>
  </si>
  <si>
    <t>Pro labore (   )  
INSS (   )
GFIP (   )                 Inicio 12/2019  verificar faturamento anexo IV - Fator R</t>
  </si>
  <si>
    <t>Pro labore (   )  
INSS (   )
GFIP (   )           INICIO 12.2019 s/m</t>
  </si>
  <si>
    <t>Pro labore (   )  
INSS (   )
GFIP (   )        S/M MÊS 01.2020</t>
  </si>
  <si>
    <t>Folha e Pro labore (   )    FOLHA MANDAR FISICO
INSS (   )
FGTS e GFIP (   )
Vale Transporte (   ) 2 por dia des eg a sexta - Enviar até 25.
Recibo Astransp (   )
Tem pensão alimentícia. Robert 20% e Rodrigo 15%</t>
  </si>
  <si>
    <t xml:space="preserve">Folha e Pro labore (   )                               
INSS (   )
GFIP (  )
</t>
  </si>
  <si>
    <t xml:space="preserve">Folha e Pro labore (   )
INSS (   )
FGTS e GFIP (   )
2 VT de Seg a Sexta  Valor do vale 4,20  Site Rio Card    
Recibo  Rio Card (   )                                                                                     </t>
  </si>
  <si>
    <t xml:space="preserve">Folha e Pro labore (   )                               
INSS (   )
GFIP (  )  S/M MÊS 01.2020
</t>
  </si>
  <si>
    <t>Folha e Pro labore (   )
INSS (   )
FGTS e GFIP (   )
Vale Transporte (   )
Login: CPF 41862740615 -  SENHA 12345  2 vt de seg a sex
Passa hr extra; enviar o movimento até dia 28.</t>
  </si>
  <si>
    <t xml:space="preserve">Folha e Pro labore (   )
INSS (   )
FGTS e GFIP (   )
Tem insalubridade. 
</t>
  </si>
  <si>
    <t>Recibo e-social  (   ) Olhar as particularidades
Simples Doméstico (   )</t>
  </si>
  <si>
    <t>GUIA INSS  (   )                                                                                                                122.744.16.85-2 - COD 1007 VALOR R$998,00 SM aposentou em 07/2019</t>
  </si>
  <si>
    <t>Pro labore (   )  
INSS (   )           PIS s/ folha (   )
GFIP (   )        IRRF (      )</t>
  </si>
  <si>
    <t>COD</t>
  </si>
  <si>
    <t>EMPRESA</t>
  </si>
  <si>
    <t>PARTICULARIDADE</t>
  </si>
  <si>
    <t>• VERIFICAR SE EMITIU NF NO PERIODO, SE NÃO EMITIU NÃO GERAR PRO LABORE</t>
  </si>
  <si>
    <t>NÃO TEM LANÇAMENTOS A SER FEITO NA FOLHA</t>
  </si>
  <si>
    <t>VIA CAFÉ **</t>
  </si>
  <si>
    <t>SOLICITAR OS VALORES DO PLANO DE SAÚDE</t>
  </si>
  <si>
    <t>Socio Albertoni está afastado ( recorrendo ).Retirada da lavinia normalmente</t>
  </si>
  <si>
    <t>BANCA INFORMATICA **</t>
  </si>
  <si>
    <t xml:space="preserve">CESIOL </t>
  </si>
  <si>
    <t>OVERSEC **</t>
  </si>
  <si>
    <t>TABERNACULO</t>
  </si>
  <si>
    <t>• INATIVA</t>
  </si>
  <si>
    <t xml:space="preserve">PROSPECTOR **   </t>
  </si>
  <si>
    <t>• SÓ PRO - LABORE</t>
  </si>
  <si>
    <t>PH TECNOLOGIA</t>
  </si>
  <si>
    <t>• ENVIAR PELO SITE SÓ GPS, NÃO ENVIAR O PRO LABORE</t>
  </si>
  <si>
    <t>ATHOS REPRESENTAÇÕES</t>
  </si>
  <si>
    <t xml:space="preserve">  ENVIAR JUNTO COM A CALU - A KARINA É QUEM FAZ A CALU</t>
  </si>
  <si>
    <t>RENAN MARCHIORI</t>
  </si>
  <si>
    <t xml:space="preserve">BREDA REPRESENTAÇÃO </t>
  </si>
  <si>
    <t xml:space="preserve">(e-Social - data da vigencia alterada manual dentro do esocial pois não foi aceito fazer dentro da dominio por ter informações enviadas depois) - Vale Transporte (2 de seg a sexta) Astransp - Login 10795073000170 e senha 12345   - Entregar folha até o dia 28  Dr carlos não recolhe INSS pois tem multiplos vinculos. 1 Funcionario tem 20% assiduidade, 20% insalubridade e desconta vale transporte. </t>
  </si>
  <si>
    <t>EDUARDO WERNECK</t>
  </si>
  <si>
    <t>ALARM FOX **</t>
  </si>
  <si>
    <t>• TEM IRRF</t>
  </si>
  <si>
    <t>TARDIO AGUA MINERAL</t>
  </si>
  <si>
    <t>VILLA ROMMA</t>
  </si>
  <si>
    <t xml:space="preserve">• O SALÁRIO DA FUNCIONÁRIA É O SALÁRIO MÍNIMO VIGENTE (TRABALHA MENOS HORAS POR MÊS) - TEM INSALUBRIDADE E ASSIDUIDADE (SINDICATO SAÚDE) - DESCONTA VALE TRANPORTE MAS NÃO FAZEMOS A RECARGA. Empresa é CEI. </t>
  </si>
  <si>
    <t>DR. CARLOS</t>
  </si>
  <si>
    <t>DR. CRISTIANO</t>
  </si>
  <si>
    <t>sem funcionarios</t>
  </si>
  <si>
    <t>DR. EDUARDO - JUIZ DE FORA</t>
  </si>
  <si>
    <t xml:space="preserve">
• SARAH - 2º / 5º / 6º - 8 HRS POR DIA - R$. 5,23 POR HR
• FAZER BOLETO DA ASTRANSP - CPF: 59224339620 - SENHA 12345 - E ENVIAR JUNTO HISTORICO DO PEDIDO- SARAH 2ª, 5ª, 6ª (04 VALES TRANSPORTES POR DIA) - FAZER RPA DO SR. ANTONIO</t>
  </si>
  <si>
    <t>• GERALDA 2º A 6º = 4 HRS POR DIA  
• ACRESCENTAR + 2 HRS COMUM NO MÊS
•Decsontoa 6% de vt. A recarga faz na empresa                                                                                                                                                                                                                                                                  Tem assiduidade</t>
  </si>
  <si>
    <t xml:space="preserve">• FAZER RECIBO DE LIMPEZA P/ ELIANE CASTELANO NO VALOR DE R$ 330,00
• ESTA NO DOC COMPARTILHADO / ESCRITORIO / DRA LUCIA / RECIBO LIMPEZA CONSULTÓRIO -  Tem assiduidade e insalubridade </t>
  </si>
  <si>
    <t>MARCELO GOMES</t>
  </si>
  <si>
    <t xml:space="preserve">• MENSALMENTE PASSA O FECHAMENTO DA FOLHA
• DESONERADA - SEMPRE QUE ABRIR UM CEI TEM QUE VER COM A MARCELA E O ANTONIO SE SERÁ DESONERADA
• FAZER DECLARAÇÃO DE ENTREGA DE MATERIAL DE SEGURANÇA POR FUNCIONÁRIO 
• FAZER ADIANTAMENTO DE SALÁRIO E ENVIAR JUNTO COM A FOLHA DE PAGAMENTO  
</t>
  </si>
  <si>
    <t>IRMÃOS ALMEIDA</t>
  </si>
  <si>
    <t>• MENSALMENTE PASSA O FECHAMENTO DAS FOLHAS DE PAGAMENTO
• FAZER DECLARAÇÃO DE ENTREGA DE  MATERIAL DE  SEGURANÇA POR FUNCIONÁRIO 
• FAZER ADIANTAMENTO DE SALÁRIO E ENVIAR JUNTO COM A FOLHA DE PAGAMENTO.</t>
  </si>
  <si>
    <t>FOLHA DE PAGAMENTO , GFIP, INSS</t>
  </si>
  <si>
    <t>ROSA CHIQUE</t>
  </si>
  <si>
    <t>DUDA MÓVEIS</t>
  </si>
  <si>
    <t>METRÓPOLIS</t>
  </si>
  <si>
    <t>IDEAL</t>
  </si>
  <si>
    <t>PADARIA MIRANTE</t>
  </si>
  <si>
    <t>GERAR A FOLHA SEMPRE. MESMO NÃO TENDO MOVIMENTO(A PEDIDO DO RAFAEL)</t>
  </si>
  <si>
    <t>• SÓ EMITIR PRO LABORE SE TIVER MOVIMENTO</t>
  </si>
  <si>
    <t>DR EDUARDO - LEOPOLDINA</t>
  </si>
  <si>
    <t>• RECEBE SALÁRIO MÍNIMO VIGENTE E LANÇAR ASSIDUIDADE (SINDICATO DA SAÚDE) - HOMOLOGAÇÃO FEITA EM LEOPOLDINA</t>
  </si>
  <si>
    <t>ZOLLO DO BRASIL</t>
  </si>
  <si>
    <t>ODONTO MILLENIUM</t>
  </si>
  <si>
    <t>Fazer recarga de VT para Daiane  2 Vt de segunda a sexta login CNPJ  senha 12345</t>
  </si>
  <si>
    <t xml:space="preserve">Madeiras Bom Clima   </t>
  </si>
  <si>
    <t>ACEJF</t>
  </si>
  <si>
    <t>No mês de junho 2018, que saiu  a CCT da saude ela pediu para não fazer desconto nenhum da funcionaria das contribuições. Tem vt novamente a partir do mês de janeiro 2020 Astransp 2vt por dia de seg a sext  41101030615 senha 12345</t>
  </si>
  <si>
    <t>MIX ALTERNATIVO</t>
  </si>
  <si>
    <t xml:space="preserve">SEM FUNCIONARIO, SO PRO LABORE , LUCRO PRESUMIDO </t>
  </si>
  <si>
    <t>• MENSALMENTE PASSA FALTAS E HE A 50%
• FAZER RECIBO DE ALIMENTAÇÃO NO VALOR DE R$13,00 POR DIA DE 2º A 6º (CCT) - Modelo em Doc comp/Escritório/Souza Car/Recibo alimentação. O período é o de competencia da folha.
• NÃO DESCONTAR VT NA FOLHA DE PGTO (BENEFICIO DADO EM DINHEIRO)
• PAGAMENTO DEVE SER ATÉ DIA 5 DE CADA MÊS
• ADIANTAMENTO SALARIAL - 40% DO SALARIO NOMINAL - .</t>
  </si>
  <si>
    <t>PICCHI TUR</t>
  </si>
  <si>
    <t>• SÓ FAZER PRÓ - LABORE SE TIVER NOTA FISCAL</t>
  </si>
  <si>
    <t xml:space="preserve">• 1 PARCELAMENTO DO INSS (EMITIR GUIA NO ECAC/ PARCELAMENTO DA LEI 12.966/ EMITIR DARF.59 PARCELAS DE 173,82 INICIO 09/2014 ATÉ 07/2019 VENCIMENTO ULTIMO DIA ÚTIL DO MÊS) </t>
  </si>
  <si>
    <t>JF DIAGNOSTICO</t>
  </si>
  <si>
    <t>•  PARADA</t>
  </si>
  <si>
    <t>AUTO ESCOLA MENDES</t>
  </si>
  <si>
    <t>NOVAIS E ARAÚJO</t>
  </si>
  <si>
    <t>SALDOCE</t>
  </si>
  <si>
    <t>SILVEIRA RAMOS</t>
  </si>
  <si>
    <t>• TEM MULTIPLOS VINCULOS socio- FUNCIONARIA VANESSA HORISTA 5 h. por dia,  seg a sex * PEDIDO DE VALE TRANSPORTE DA ASTRANSP 12759011000139 - SENHA 12345 (ALESSANDRA E NICOLE) 2 VT DE SEG A SEXTA, ATENÇÃO A INSALUBRIDADE , ASSIDUIDADE  E CONTRIBUIÇÃO SE PUXOU CERTO.</t>
  </si>
  <si>
    <t xml:space="preserve">• PASSOU O PRO-LABORE PARA R$. 788,00 (TEM MÚLTIPLOS VÍNCULOS)
• TEM DESONERAÇÃO - (QUANDO FOR RECALCULAR O FGTS EM ATRASO, JÁ FOI PAGO OS FGTS DOS FUNCIONÁRIOS DEMITIDOS SÓ PAGAR DOS FUNCIONÁRIOS ATIVOS) FUNCIONARIOS LEVARAM NA </t>
  </si>
  <si>
    <t>MOVELMENTO</t>
  </si>
  <si>
    <t>NOA (verificar Mensalmente se tem Mov - multiplos vinculos)</t>
  </si>
  <si>
    <t>• TEM MULTIPLOS VINCULOS
• VERIFICAR MENSALMENTE SE EMITIU NF, NO MÊS QUE NÃO EMITIR, NÃO GERAR PRO LABORE</t>
  </si>
  <si>
    <t>DR CÉLIO CARNEIRO</t>
  </si>
  <si>
    <t>• LISLEY DE 2º A 6ª - 4 HRS POR DIA.Paga assiduidade</t>
  </si>
  <si>
    <t>EURO EMPREENDIMENTOS</t>
  </si>
  <si>
    <t>Gizele tem assiduidade e Simone tem assiduidade e insalubridade 20%.</t>
  </si>
  <si>
    <t>PARADA</t>
  </si>
  <si>
    <t>MARKA</t>
  </si>
  <si>
    <t>• Funcionário tem a partir 01/11/15 - FOLGA 2 SÁBADOS E 2 DOMINGOS POR MÊS -                                                                                                                                                                                                       • LANÇAR DESCONTO DE ALUGUEL DE R$50,00
• VALOR INSS - FUNCIONARIO: 2,7% + INSS DA FOLHA DE PAGAMENTO(O func. 1H.E extra de seg a sexta e sab faz 5:00 horasextras, trabalha 9:00 por dia inclusive aos domingos e feriados) Pagar aos domingos e feriados hora extra 100%</t>
  </si>
  <si>
    <t>DRA SUELI</t>
  </si>
  <si>
    <t>JF SUPORTE</t>
  </si>
  <si>
    <t>CORTEX CLINICA MEDICA</t>
  </si>
  <si>
    <t>• ENTREGAR MOVIMENTO DO DP ATÉ O DIA 26 DE CADA MÊS - LIGAR PARA SABER SE TEVE FALTA OU ADIANTAMENTO SALARIAL
• FAZER BOLETO DA ASTRANSP - CNPJ 08468470000196 - SENHA: 12345- 2º A SAB - 2 POR DIA - ENVIAR HISTORICO DO PEDIDO (Vt apenas para Yago e Fabiana)</t>
  </si>
  <si>
    <t>• LANÇAR FALTAS DE 30 DIAS JOYCE - ZERAR FOLHA</t>
  </si>
  <si>
    <t>MARIA CELIA ALTOMAR</t>
  </si>
  <si>
    <t>LUCIENE EVARISTO</t>
  </si>
  <si>
    <t>não tem particularidade</t>
  </si>
  <si>
    <t>WT MATERIAIS E SERVIÇOS</t>
  </si>
  <si>
    <t>A partir de 05/2019 tem VT - 02 vales por dia de segunda a sábado. 1 hora extra por dia de segunda a sexta - Login 14278281000153 Senha 12345 - cartão comum inicio 5904</t>
  </si>
  <si>
    <t>LUCAS SANTOS</t>
  </si>
  <si>
    <t>SHOW PISOS</t>
  </si>
  <si>
    <t>MARIA LUISA CONDÉ</t>
  </si>
  <si>
    <t>INFO TONER</t>
  </si>
  <si>
    <t xml:space="preserve">VITOR COSTA REPRESENTAÇÃO </t>
  </si>
  <si>
    <t>• VERIFICAR COM ANTONIO SE VAI EMITIR PRO LABORE INSS; Socio falaceu</t>
  </si>
  <si>
    <t>EVENTUS ASSESSORIA</t>
  </si>
  <si>
    <t>ZZUB MIDIAS ALTERNATIV</t>
  </si>
  <si>
    <t>CODE HUNTERS</t>
  </si>
  <si>
    <t>cancelou o plano de saúde</t>
  </si>
  <si>
    <t>TEM DESONERACAO OBRA 003 CASCATINHA, ele passa fechamento. Tem vt e geramos boleto Login: 15276438000174  senha:12345 é bilhete único 3 por dia seg a sexta.( Cléber e Elvis) Felipe e Angelo é cartão comum e são 2 vts por dia.</t>
  </si>
  <si>
    <t>MANDA VALOR DE ADIANTAMENTO SOLICITAR ANTES</t>
  </si>
  <si>
    <t>TEM PLANO DE SAÚDE. Solicitar cliente.</t>
  </si>
  <si>
    <t>• FAZER DECLARAÇÃO MATERIAL DE SEGURANÇA POR FUNCIONÁRIO E POR OBRA
• DESONERAÇÃO (O FUNCIONÁRIO ESTA REGISTRADO NA ADMINISTRAÇÃO)
• FAZER ADIANTAMENTO ATÉ O DIA 20 DE CADA MÊS - 40% DO SALÁRIO NOMINAL
• ADIANTAMENTO SALARIAL</t>
  </si>
  <si>
    <t>BELLA VISTA RESORT</t>
  </si>
  <si>
    <t>MANDAR POR EMAIL</t>
  </si>
  <si>
    <t>LAGE SERVIÇOS ADMINISTRATIVOS</t>
  </si>
  <si>
    <t>OUROMINAS SERVIÇO DE PREPARAÇÃO DE DOCUMENTOS</t>
  </si>
  <si>
    <t>Tem plano de Saude. Acessar: http://www.unimedjf.coop.br/novosite/default.aspx    login 92523 senha 12345</t>
  </si>
  <si>
    <t>FORMATO PLOTAGENS</t>
  </si>
  <si>
    <t xml:space="preserve">• LANÇAR PLANO DE SAÚDE </t>
  </si>
  <si>
    <t>LAURA RESSURREICAO</t>
  </si>
  <si>
    <t>PRO LABORE, GFIP, SEM FUNCIONARIOS</t>
  </si>
  <si>
    <t>GOLD COBRANÇAS</t>
  </si>
  <si>
    <t>VIDEO CUNHA</t>
  </si>
  <si>
    <t>CARLOS MAGNO DE MELO</t>
  </si>
  <si>
    <t>GRUPO FACIL</t>
  </si>
  <si>
    <t xml:space="preserve">• ENVIAR A FOLHA ATÉ DIA 30. * socio Rogerio faleceu, por isso não tem retirada  
</t>
  </si>
  <si>
    <t>TISOS EMPÓRIO DE CAFÉ</t>
  </si>
  <si>
    <t xml:space="preserve">HEITECH REPRESENTACOES </t>
  </si>
  <si>
    <t>CLINICA MEDICA KUMMEL</t>
  </si>
  <si>
    <t>TECHGEO - JUIZ DE FORA</t>
  </si>
  <si>
    <t>• PASSA HE ,  FALTAS, ASSIDUIDADE (DE QUEM NÃO VAI TER).
• ASSISTÊNCIA MÉDICA, ADICIONAL NOTURNO 20% (9h por noite - 7h as 7h - 12hx36h) (SOBRE VALOR DO SALÁRIO  + INSALUBRIDADE), ADIANTAMENTO A SER DESCONTADO, E A QUANTIDADE DE VALE TRANSPORTE UTILIZADO POR FUNCIONÁRIO).MARCIA NÃO TEM MAS VT PARA DESCONTAR.FAZER BOLETO ASTRANSP - CNPJ 11105223000130 - SENHA 12345 - FAZER BOLETO BILHETE UNICO SILVANIA 4 VT/POR DIA ENVIAR HISTORICO DO PEDIDO DO VT. - Enviar o VT até o dia 30.</t>
  </si>
  <si>
    <t>Envia mensalmente Horas Extras, adicional noturno, faltas , atrasos e assiduidade. FUNCIONÁRIO JEAN ESTÁ PRESO DESDE O DIA 24/03/2017, LANÇAR MÊS INTEIRO DE FALTAS.</t>
  </si>
  <si>
    <t>TOP FITNESS - MATRIZ</t>
  </si>
  <si>
    <r>
      <t xml:space="preserve">• MENSALMENTE PASSA VALORES DE COMISSÃO, HE E FALTAS. Tem plano de saude socio e funcionários.,plasc.A funcionária Jesielley não desconto o plano de saúde
• FAZER O BOLETO DA ASTRANSP - CNPJ 08260080000126 - SENHA 12345 ENVIAR O HISTORICO DO PEDIDO LÁ PRO </t>
    </r>
    <r>
      <rPr>
        <sz val="10"/>
        <color rgb="FFFF0000"/>
        <rFont val="Calibri"/>
        <family val="2"/>
        <scheme val="minor"/>
      </rPr>
      <t>DIA 24 DE CADA MES</t>
    </r>
    <r>
      <rPr>
        <sz val="10"/>
        <rFont val="Calibri"/>
        <family val="2"/>
        <scheme val="minor"/>
      </rPr>
      <t xml:space="preserve">
• FAZER O BOLETO DA ASTRANSP SEPARADO POR EMPRESA (FUNCIONÁRIO), MAS PELO CNPJ DA MATRIZ .(OBSERVAR FUNCIONÁRIOS AFASTADOS E DE FÉRIAS NO MÊS)
• FABRICA E SETOR ADMINISTRATIVO SERÃO  VT  DE 2º A 6º   (1060 e 355)
• VENDEDORES SERÃO  VT DE 2º A SAB. (1062 e 3550
• MEIRE Helen  COMISSÃO FIXA DE R$750,00.
• AS FUNCIONÁRIAS DA FABRICA E ADMINISTRATIVO  NÃO TERÃO O VT DESCONTADO EM FOLHA MAS A RECARGA SERÁ NORMAL ( Rosana,Suely 2 VT -Andreia,Clarice,Conceicao,Jesielly,Lucianee,Teresinha Wesliene 4 VT.APENAS VENDEDORAS TERÃO DESCONTO DE VT EM FOLHA.Claudia melo não tem VT  ( Thais 4 vt 2ºa sabado)</t>
    </r>
  </si>
  <si>
    <t>INATIVA</t>
  </si>
  <si>
    <t>MEGA BOTÕES</t>
  </si>
  <si>
    <t>ALINE C AZEVEDO</t>
  </si>
  <si>
    <t xml:space="preserve">AE ARQUIVAMENTOS </t>
  </si>
  <si>
    <t xml:space="preserve">MONTEIRO MARTINS </t>
  </si>
  <si>
    <t>INDUSTRIA METALÚRGICA MORATORI</t>
  </si>
  <si>
    <t>LUCIANE TEM GRATIFICAÇÃO DE 250,00 , ATENÇÃO TEM INSALUBRIDADE, ASSIDUIDADE E CONTRIBUIÇÃO,. ( Marcela e Karina não tem insalubridade)</t>
  </si>
  <si>
    <t>ADA TECNOLOGIA</t>
  </si>
  <si>
    <t xml:space="preserve">O TREM BÃO INTERMEDIAÇÃO </t>
  </si>
  <si>
    <t>ATELIER DO SICKO</t>
  </si>
  <si>
    <t>• ISABEL TRABALHA DE 2º A 6º - 2 HRS POR DIA - • 1 PARCELAMENTO DO INSS (EMITIR GUIA NO ECAC/parcelamento/parcelamento simplificado previdenciario/extrato de parcelamento/pedido 1370728/extrato/emitir gps - VENCIMENTO ULTIMO DIA ÚTIL DO MÊS)</t>
  </si>
  <si>
    <t xml:space="preserve">FABULARE COMUNICAÇÃO </t>
  </si>
  <si>
    <t>• ESTAR PARALISADA</t>
  </si>
  <si>
    <t xml:space="preserve">Eduardo Altomar </t>
  </si>
  <si>
    <t>APARTAMENTO 103</t>
  </si>
  <si>
    <t>CARTA CURINGA JUIZ DE FORA</t>
  </si>
  <si>
    <t>IVANIR DANIEL AFFONSO 49881035600 - SIMEI</t>
  </si>
  <si>
    <t>SEM MOV</t>
  </si>
  <si>
    <t>BOA SAUDE CLINICA MEDICA</t>
  </si>
  <si>
    <t>LUANA DOS ANJOS</t>
  </si>
  <si>
    <t>ACHEI LÁ REPRESENTAÇÕES</t>
  </si>
  <si>
    <t>SABORES E AROMAS</t>
  </si>
  <si>
    <t>• PASSA QUEM TEM HE 50%
• FAZER O BOLETO DA ASTRANSP - CNPJ 19108127000157 - SENHA 12345 - E ENVIAR HISTORICO DO PEDIDO
•  Elaine  2 VT seg a sábado , Luziane e Joyce 3 VT (bilhete único) - segunda a sábado.
Recibo Astransp  Enviar até dia 25 de cada mês.</t>
  </si>
  <si>
    <t>• LIGAR PRA SABER SE TEVE FALTAS
• FAZER ADIANTAMENTO SALARIAL ATÉ DIA 20 DE CADA MÊS
•  FAZER DECLARAÇÃO MATERIAL DE SEGURANÇA POR FUNCIONÁRIO</t>
  </si>
  <si>
    <t>EMPÓRIO DA CASA</t>
  </si>
  <si>
    <t>VERIFICAR SE TEM MOVIMENTO</t>
  </si>
  <si>
    <t>FERNANDES E RIBEIRO</t>
  </si>
  <si>
    <t>2M INDUSTRIA DO VESTUARIO</t>
  </si>
  <si>
    <t>MATHEUS E MALVACCINI CONSTRUCOES</t>
  </si>
  <si>
    <t>SOIP - SOLUCOES INTEGRADAS EM PLANEJAMENTO</t>
  </si>
  <si>
    <t xml:space="preserve">PRADO MACHADO REPRESENTAÇÃO </t>
  </si>
  <si>
    <t>• CONSULTAR SE TEVE MOVIMENTO</t>
  </si>
  <si>
    <t>GRAN WORLD BUSINESS</t>
  </si>
  <si>
    <t>Fazer adiantamento de salaio</t>
  </si>
  <si>
    <t>Emitir pro labore a partir 03.2016 apenas quando tiver emissao de nota</t>
  </si>
  <si>
    <t>BEERTHOVEN</t>
  </si>
  <si>
    <t xml:space="preserve">• TEM PLANO DE SAUDE A SER DESCONTADO DOS SÓCIOS </t>
  </si>
  <si>
    <t>não passou numero de vale transporte para incluir pedido .iremos tirar o desconto em folha dos 6%</t>
  </si>
  <si>
    <t xml:space="preserve">Login  19523385000108   senha 12345 - 3 vt de seg a sexta É BILHETE ÚNICO, gerar boleto antes do dia 25 de cada mês. </t>
  </si>
  <si>
    <t>• SÓ DEIXAR O BRENNER COMO SÓCIO (POR ENQUANTO NÃO FAZER ESTÁ DE BENEFÍCIO)</t>
  </si>
  <si>
    <t>PROTEGE ADMINISTRADORA E CORRETORA DE SEGUROS</t>
  </si>
  <si>
    <t xml:space="preserve">• BOLETO ASTRANSP CNPJ 19809682000106 - SENHA 12345 2º A SAB </t>
  </si>
  <si>
    <t>LUDANI PIZZARIA</t>
  </si>
  <si>
    <t>* NÃO TEM EXTRAS</t>
  </si>
  <si>
    <t>ELYSEE MODEL TREINAMENTOS</t>
  </si>
  <si>
    <t>não está tendo retirada de pro lçabore devido ao caixa negativo da empresa</t>
  </si>
  <si>
    <t>Tirar a guia de INSS sobre a nota emitida para AL conservação codigo do INSS 2631.Verificar o valor retido na nota com a Contabilidade.Sempre que começar uma nova obra verificar com o empregador se ele quer optar poela desoneração ou não.A opção será levada até o final da mesma.</t>
  </si>
  <si>
    <t>PROSCAN JF</t>
  </si>
  <si>
    <t>XPICE</t>
  </si>
  <si>
    <t>NORTE COMÉRCIO DE MÁQUINAS</t>
  </si>
  <si>
    <t>ENVIAR ATÉ O DIA 30</t>
  </si>
  <si>
    <t xml:space="preserve">LA BELLE COMÉRCIO </t>
  </si>
  <si>
    <t>PROSCAN JF FILIAL</t>
  </si>
  <si>
    <t>TOP FITNESS - FILIAL 05</t>
  </si>
  <si>
    <t>•PASSA O MOVIMENTO POR EMAIL ( O RESTANTE DAS PARTICULARIDADES ESTA NO Nº 355- MATRIZ)Edivania  e Ticiane 2vt de 2º a sabado</t>
  </si>
  <si>
    <t xml:space="preserve">• MANDAR ATÉ 30 DE CADA MÊS MOV DA FOLHA DE PGTO .  Igor faz menos horas por dia. </t>
  </si>
  <si>
    <t>TCL DISTRIBUIDORA</t>
  </si>
  <si>
    <t>AL REPRESENTAÇÕES LTDA ME</t>
  </si>
  <si>
    <t>365 FILMES</t>
  </si>
  <si>
    <t>PONTE ALTA</t>
  </si>
  <si>
    <t>TEM PLANO DE SAÚDE - SOLICITAR ENVIO - UNIMED - SÁVIO - A PARTIR DE JANEIRO CANCELOU PLANO DE SAÚDE</t>
  </si>
  <si>
    <t>IGOR ROUSSEFF - ME</t>
  </si>
  <si>
    <t>Distribuidora de bebidas Du Bill</t>
  </si>
  <si>
    <t>IRS CONSULTORIA</t>
  </si>
  <si>
    <t>LAJETEC MATERIAL DE CONSTRUÇÃO</t>
  </si>
  <si>
    <t>• PASSA TODO MÊS POR EMAIL HORA EXXTRA E FALTAS - TRABALHA COM TRÊS SINDICATOS (CONSTRUÇÃO CIVIL - MOTORISTA - COMÉRCIO) - • FAZER RECIBO DA ASTRANSP -  CNPJ  07452988000179 - SENHA 12345 - VT 2 POR DIA DE 2º A SÁBADO - ENVIAR JUNTO HISTORICO DE PEDIDO - SOLICITAR VALOR PLANO DE SAÚDE SÓCIOS - UNIMED ELDER - E PLASC DANIEL</t>
  </si>
  <si>
    <t>.   Ela envia plano de saude socios,tem que aguardar.Vt é descontado 6% em folha. Passa valor de comissão todo mês. Funcionario 14 tem um emprestimo no valor de 1600 dividido de 8x, começou em fev/2020.</t>
  </si>
  <si>
    <t>GIOVANNI CERRONE</t>
  </si>
  <si>
    <t>Fazer recarga astransp. Login: 26523219860 senha 12345 2 vales de seg a sexta .Pagar assiduidade, não tem insalubridade.email geovanni_cerrone@hotmail.com</t>
  </si>
  <si>
    <t xml:space="preserve">G.V.A EMPREITEIRA </t>
  </si>
  <si>
    <t>BATATA BOWL</t>
  </si>
  <si>
    <t>Pro labore, GFIP, SEM FUNCIONARIOS</t>
  </si>
  <si>
    <t>Apoio Desenhos</t>
  </si>
  <si>
    <t xml:space="preserve">Tem plano de saúde E AD de Insalubridade, quem recebe 4 passagens as 02 primeiras são feitas no valor de 1,38. As recargas são feitos pela empresa.Jose Hailton tem plano de saude acessar login: 4250 senha 9102205000152 descontar socio e dependentes </t>
  </si>
  <si>
    <t>• SENHA ASTRANSP. APOIO CNPJ 09.102.205/0001-52 .O boleto é emitido pela propria empresa -.Funcionários que trabalham com letrista recebem insalubridade. letristas interno não tem INSALUBRIDADE.Passa fechamento plano dos funcionarios e faltas. Apenas 2 funcionarios tem a insalubridade sobre o salario base pois veio assim de la,o restante é sobre o minimo. Toda vez em que o plano ultrapassar o pro labore,aumentar o mesmo e avisar empresa o motivo do aumento aquele mes. Jose Hailton tem plano de saude acessar Plasc  login: 4250 senha 9102205000152 descontar socio e dependentes.</t>
  </si>
  <si>
    <t xml:space="preserve">Perguntar a Sara valor do prolabore </t>
  </si>
  <si>
    <t xml:space="preserve">E - social -  não tem VT </t>
  </si>
  <si>
    <t>Wellerson Carvalho</t>
  </si>
  <si>
    <t xml:space="preserve"> Larissa passa gratificação dos funcionários todo mês. Tem guia de retenção de INSS  codigo 2631,agora a propria conservadora esta mandando a guia para eles. . Recarga feita pela propria empresa.descontar vale alimentação a partir de junho 20% sobre o  deposito.A recarga é de 600,00 por mes e o socio Thiago o desconto é integral.</t>
  </si>
  <si>
    <t>RODRIGO PETERNELLI STUDIO ORAL</t>
  </si>
  <si>
    <t>Funcionária trabalha 4 horas por dia de seg a sexta</t>
  </si>
  <si>
    <t>Bom Brasileito MT</t>
  </si>
  <si>
    <t>Não precisa ligar para saber de fechamento Paola e Helio tem plano de saude.Acessar plasc Login 4285 senha 23441246000102</t>
  </si>
  <si>
    <t>POUSADA MARIA VEIGA LTDA filial</t>
  </si>
  <si>
    <t>SEM FUNCIONARIOS</t>
  </si>
  <si>
    <t>Fazer recarga astransp Login:CNPJ 23480751000158 senha :12345 
Recibo Astransp (   ) VALE TRANSPORTE PARA AS FUNC. ANA CAROLINA , ISABELA,RAFAELA E LARISSA 2 VTS POR DIA DE SEG A SABADO</t>
  </si>
  <si>
    <t>BIOSFERA CONSULTORIA AMBIENTAL E ENGENHARIA LTDA</t>
  </si>
  <si>
    <t>ALL DAY FIT</t>
  </si>
  <si>
    <t>Bom Brasileito FL</t>
  </si>
  <si>
    <t xml:space="preserve">Raphael é horista.lancar 4 hrs de segunda a sabado.Não precisa ligar </t>
  </si>
  <si>
    <t>ABBAC Lima Duarte</t>
  </si>
  <si>
    <t>ASSIM QUE TIRA A RPA ENVIA O ISS</t>
  </si>
  <si>
    <t>Abbac Andrelandia</t>
  </si>
  <si>
    <t>ABBAC ANGRA DOS REIS</t>
  </si>
  <si>
    <t>Atentar para  CCT pois a contribuição assistencial e enviada assim que sai a convenção.É anual essa guia assistencial no site da SINDIFILANTROPICAS cnpj da empresa e codigo 4389,normalmente é enviada para o email da Abbac. Numero do telefone seguradora  31- 3442-1300 para cadastrar ou emitir atrasados do seguro. A seguradora manda o boleto para o email da Abbac.refiz o seguro em 22/01/2019</t>
  </si>
  <si>
    <t>PODE FECHAR NÃO TEM VARIAVEL - VALE TRANSPORTE  LOGIN: 06563577000186 - SENHA : 12345 (NÃO TEM)</t>
  </si>
  <si>
    <t>Maria Augusta</t>
  </si>
  <si>
    <t xml:space="preserve">ASTRANSP - 48656453653 SENHA: 12345 .  Regina 3 vt seg a sexta +20% assiduidade sobre o minimo  - Esteticista ela tem insalubridade DE 20% DO SALARIO.           Saiu da empresa 01/2020        </t>
  </si>
  <si>
    <t>Paulo cesar</t>
  </si>
  <si>
    <t xml:space="preserve">Funcionaria não tem assiduidade </t>
  </si>
  <si>
    <t>CLEVIS</t>
  </si>
  <si>
    <t>COLOCAR NA FOLHA ADIANTAMENTO DE 300,00 DE JUNHO A NOVEMBRO,(REFERENTE AO UM EMPRESTIMO QUE A FUNCIONARIA ANABEL FEZ) MAS COLOCAR DESCONTO COMO ADIANTAMENTO</t>
  </si>
  <si>
    <t>DRA JANE</t>
  </si>
  <si>
    <r>
      <t xml:space="preserve">FUNCIONARIA (Carol) PAGA POR HORA 4 HORAS NO DIA MAS ELA MANDA O PONTO POIS A FUNCIONARIA ALGUNS DIAS FICA MAIS TEMPO. Domestica-Vera-somar quantas horas ela trabalhou que por dia,pois as vezes sai mais cedo. </t>
    </r>
    <r>
      <rPr>
        <b/>
        <sz val="10"/>
        <rFont val="Calibri"/>
        <family val="2"/>
        <scheme val="minor"/>
      </rPr>
      <t>Recibo manual de vale transporte. 2 por dia (seg/quarta e sexta)</t>
    </r>
    <r>
      <rPr>
        <sz val="10"/>
        <rFont val="Calibri"/>
        <family val="2"/>
        <scheme val="minor"/>
      </rPr>
      <t xml:space="preserve"> - VALOR DA HORA 5,07</t>
    </r>
  </si>
  <si>
    <t>ASSOCIACAO TURISMO JUIZ DE FORA</t>
  </si>
  <si>
    <t>INSS FOLHA PIS S/ FOLHA - VER SINDICATO</t>
  </si>
  <si>
    <t>A funcionária Rosa Eni terá 4 vts por dia de seg a sexta.Gerar boleto login cpf e senha 12345</t>
  </si>
  <si>
    <t>PREVINE</t>
  </si>
  <si>
    <t>PEDIR O MOVIMENTO FINAL DO MÊS.Estão pagando insalubridade errado ( 20% sobre o salário ao invés de 20% sobre o piso)Antônio conversou o mês passado e ficaram de 
definir se seria alterado. CONFIRMAR. Claudilani tem VT confirmar desconto na folha</t>
  </si>
  <si>
    <t>IN JF SHOPPING</t>
  </si>
  <si>
    <t>Todas tem VT, a empresa quem faz.Todas tem assiduidade e insalubridade, desconto de vt e contribuição confederativa.</t>
  </si>
  <si>
    <t xml:space="preserve">GRAN COXINHA'S RESTAURANTE </t>
  </si>
  <si>
    <t>VALE Transporte:  Maria Aparecida,Eloisa;     Sal Familia-Sueli; Vale tarnsporte Senha:32151623; os vales são de seg a sabado</t>
  </si>
  <si>
    <t>BOM MINEIRO</t>
  </si>
  <si>
    <t>HORISTA TRABALHA 4 HRS DE SEGUNDA A SABADO - Login Astransp 25286211000163 - Senha 12345   eviada Gfip s/m em 07/2018</t>
  </si>
  <si>
    <t>SERVIÇAL</t>
  </si>
  <si>
    <t>Plano de saude descontar apenas coparticipação  Plasc. Login 4949 senha 14510243000184</t>
  </si>
  <si>
    <t>LR CARVALHO</t>
  </si>
  <si>
    <t>• PASSA HE ,  FALTAS, ASSIDUIDADE (DE QUEM NÃO VAI TER).
• ASSISTÊNCIA MÉDICA, ADICIONAL NOTURNO 20% (9h por dia - 7h as 7h - 12hx36h) (SOBRE VALOR DO SALÁRIO + ASSIDUIDADE + INSALUBRIDADE), ADIANTA,MENTO A SER DESCONTADO, E A QUANTIDADE DE VALE TRANSPORTE UTILIZADO POR FUNCIONÁRIO).FAZER BOLETO ASTRANSP - CNPJ 11105223000210 - SENHA 12345 FAZER BOLETO BILHETE UNICO PARA ELETRA REJANE 3 VT - ENVIAR HISTORICO DO PEDIDO DO VT. - Enviar o VT até o dia 30.Calculo adicional salario +insalubridade/220*20% *horas trabalhadas no mes 9 HORAS POR DIA.EDNA NÃO TEM MAS VT PARA DESCONTAR</t>
  </si>
  <si>
    <t>DBI INTERNET LTDA</t>
  </si>
  <si>
    <t>Envia por e-mail a folha de ponto dos funcionários. Tem adcional noturno 20%. Trabalham 6horas por dia.</t>
  </si>
  <si>
    <t>RECARGA  ASTRANSP 25287366000114 LOGIN 12345  2 VALES TRANSPORTES PARA:AS FUNCIONÁRIAS ( ANA CAROLINA , VITÓRIA E ARIELLE) 2ª a sabado COMEÇOU A GERAR NO MÊS 01/2020</t>
  </si>
  <si>
    <t>RECARGA DE VT A PARTIR DE 03/2019 - 2 VT SEG A SEXTA Login: 02361825600 senha 12345</t>
  </si>
  <si>
    <t>PADARIA E CONF. MACHADO CARPANEZ</t>
  </si>
  <si>
    <t>Fabricia</t>
  </si>
  <si>
    <r>
      <t xml:space="preserve">Solicitar lá pro dia 26 a relação dos dias a serem trabalhados no mês seguinte para fazer a recarga do vale transporte.Enviar boleto até dia 27.As comissões passadas para fechamento da folha são lançadas no codigo 211 </t>
    </r>
    <r>
      <rPr>
        <sz val="10"/>
        <color rgb="FFFF0000"/>
        <rFont val="Calibri"/>
        <family val="2"/>
        <scheme val="minor"/>
      </rPr>
      <t xml:space="preserve">Gorjetas </t>
    </r>
    <r>
      <rPr>
        <sz val="10"/>
        <rFont val="Calibri"/>
        <family val="2"/>
        <scheme val="minor"/>
      </rPr>
      <t>e descontadas no codigo 212.caso ela não anote no fechamento confirmar se o montante passado para fechamento ja foi pago ou não.</t>
    </r>
  </si>
  <si>
    <t>NOVUS CORRETORA</t>
  </si>
  <si>
    <t>DON CAMALEON</t>
  </si>
  <si>
    <t>MOTOTEX</t>
  </si>
  <si>
    <t>Guia de Assistencial no sindicato dos transportes. Enviado Gfip s/m em 08/2018</t>
  </si>
  <si>
    <t>Observar os feriados no mês.Todas trabalham nos feriados .Daniele envia no final do mês o ponto.Para funcionários admitidos caso não tiver experiencia na area admitir com o minimo da categoria 970,00, depois do prazo de experiencia passar para o da classe.</t>
  </si>
  <si>
    <t>Fazer adiantamento de 30% .Todos os funcionarios  tem Insalubridade de 20%. Pagar VT . Desconto de 1 centavo de alimentação. Atenção a funcionária que é farmaceutica sindicato dos farmaceuticos data base março.EXTRAS SÃO LANÇADOS MAS NÃO SAO COBRADOS,CONFORME ACORDO COM ANTONIO.pARCELAMENTO DE INSS FEITO NO ECAC</t>
  </si>
  <si>
    <t>HOTELARIA ESPAÇO VIDA</t>
  </si>
  <si>
    <t>Tirar guia de parcelamento do INSS no ecac entra com o cartão. * Tem plano de saude da unimed, pedi os boletos para lançar na folha de pagamento.</t>
  </si>
  <si>
    <t>Cissa</t>
  </si>
  <si>
    <t>Verificar quantidade de quartas, quintas, sextas e sábados do mês para pagar o adicional noturno . Adicional Noturno - Os funcionários Carlos Pedretti,Ricardo e Jandira recebem por  Quarta - 2 horas, por Quinta - 3 horas, por  Sexta - 4 horas e por  sábados - 4 horas. Os funcionários Rodrigo e Carlos Andres recebem  por Quarta - 2 horas, por Quinta - 2 horas, por Sexta - 4 horas e por Sábado 4 horas.Os funcionários Jean, Omar e Hangel recebem por Sexta - 4 horas e por sábado - 4 horas.  O funcionário Hangel é horista e trabalha de 18:00 às 02:00 ( 8 horas) as sextas e sábados. Feriado - Quando houver feriado no mês fazer o pagamaneto a 100% dos funcionários que trabalharam na data, lembrando que eles trabalham em dias diferentes. Os funcionários Jandira e Jean recebem quebra de caixa. Bruno Manoel - Sexta 8 horas/Sábado 8 horas/Domingo 7 horas - ad. Noturno 4 horas sábado e 4 horas sexta.Guilherme - Qui -7 horas, sext - 8 horas e sábados - 8 horas - adicional noturno - Qui 3 horas - Sexta 4 horas e Sábado 4 horas.</t>
  </si>
  <si>
    <t>*Envia o fechamento - até o dia 30 do mês  tem dois sindicatos comercio e emfermeiros</t>
  </si>
  <si>
    <t>FLAVIA LOPES QUINTAO CPF. 049.471.756-48 - ME</t>
  </si>
  <si>
    <t>Guia de Assistencial no sindicato dos transportes.  (TEM PARCELAMENTO)</t>
  </si>
  <si>
    <t>*Tem recarga de vale transporte - 27432371000107 senha 12345  nenhum funcionário tem vt</t>
  </si>
  <si>
    <t xml:space="preserve">Tirar relatorio do plano de saude http://www.unimedjf.coop.br/clienteJuridico/Relatorios.aspx Login 399388 senha 11151905. Descontar 1 dependente em cada pro labore.Tirar relatorio do plano de saude </t>
  </si>
  <si>
    <t>VIA EXPRESSA</t>
  </si>
  <si>
    <r>
      <t>E-SOCIAL - RECIBO ASTRANSP - LOGIN - 00848049632 - SENHA - 123456</t>
    </r>
    <r>
      <rPr>
        <b/>
        <sz val="10"/>
        <rFont val="Calibri"/>
        <family val="2"/>
        <scheme val="minor"/>
      </rPr>
      <t xml:space="preserve"> 4 VT's por dia sendo 6 dias de trabalho por semana</t>
    </r>
  </si>
  <si>
    <t>DIEGO MAGRI JUSTE</t>
  </si>
  <si>
    <r>
      <t xml:space="preserve">E-SOCIAL - RECIBO ASTRANSP - LOGIN - 00261701673 - SENHA - 123456 - </t>
    </r>
    <r>
      <rPr>
        <b/>
        <sz val="10"/>
        <rFont val="Calibri"/>
        <family val="2"/>
        <scheme val="minor"/>
      </rPr>
      <t>4 VT's por dia sendo 6 dias de trabalho por semana (Não desconta vale transporte na folha)</t>
    </r>
  </si>
  <si>
    <t>CHANGE IDIOMAS LTDA - ME</t>
  </si>
  <si>
    <t>Sindicato - Senalba - DSR calcula 1/6 e o desconto do vale transporte é de 5%. A hora aula de 75 min - 18,09, a base da hora é 13,51. Vale transporte  Gabriela - 2 vt de seg a sábado - login 23833881000127 e senha 32156923 Ao calcular TRCT calcular média fora do sistema pois não foram inseridas.Aos funcionários que são horistas manter sempre as mesmas horas  lais 32 hrs, Livia 24 hrs,raquel 16 hrs, Victor 16 hrs,Wagner 48 hrs, caso houver alterações a empresa passará.Adiantamento a empresa solicita.</t>
  </si>
  <si>
    <t>RAIDEL DE SOUZA</t>
  </si>
  <si>
    <t xml:space="preserve">WARI </t>
  </si>
  <si>
    <t>Descontar 5%( ESTA NA CONVENÇÃO ESSE DESC.) do valor da recarga de vale alimentação do func. Eduardo - VR -o valor do ticket por dia é 22,05 de seg a sexta.Descontar na folha sobre o valor do mês que estamos fazendo a folha.</t>
  </si>
  <si>
    <t>RVP IMOVEIS</t>
  </si>
  <si>
    <t>Ronaldo passa os valores de comissão todo mês, porém só passa final do mês e tem que cobrar.</t>
  </si>
  <si>
    <t xml:space="preserve">MATOSINHA </t>
  </si>
  <si>
    <t xml:space="preserve">Funcionária é horista e tem sua jornada de trabalho fixa da seguinte forma:  trabalha todas terça-feira 8 horas por dia; quinta-feira 8 horas por dia; sábado 8 horas por dia. </t>
  </si>
  <si>
    <t>LOGIN astransp : 27611716000181  Senha:praticante11 (  2ª a sabado,Jeniffer e Jessika bilhete único (RECARGA DE 2X NO MÊS) Tem plano de saude /Odontologico e variáveis passa mensalmente.</t>
  </si>
  <si>
    <t>PURIFIQUE</t>
  </si>
  <si>
    <t>PASSA FALTAS E HORAS EXTRAS , TALITA APRESENTOU CARTA DE OPOSIÇÃO DO SIND. NÃO DESCONTA MAIS CONTRIB.ASSISTENCIAL  APARTIR DA COMPETENCIA 02/2019 PASSOU A SER PRESUMIDO NO MÊS 01/2020</t>
  </si>
  <si>
    <t>Não paga feriado Art 59º A único.Adicional noturno 07 horas por dia (22:00 ás 05:00) escala 12x36 SAIU DA EMPRESA 01/2020</t>
  </si>
  <si>
    <t>ESCOLA DE NEGOCIOS</t>
  </si>
  <si>
    <t>Estagiária JULIANA, boleto astransp enviar até dia 25,tem 2vt por dia de segunda a sexta,não descontar vt em folha. Login 29621891000185 senha 12345</t>
  </si>
  <si>
    <t>A funcionaria, Daniele E Sandra 2 vt de seg a sabado, Lidia TEM BILHETE UNICO  3 vt cada de seg a sabado.A func.( Maria Helena trabalha seg, quarta e sabado, portanto geramos vt para ela somente para eseses dias) login 30020084000196 senha 12345 gerar boleto na astransp. Lidia tem Insalubridade, não terão assiduidade.</t>
  </si>
  <si>
    <t>PALOMA MATHEUS</t>
  </si>
  <si>
    <t>funcionária trabalha de segunda a sexta de 13:30 as 18:30 e aos sabados 09 as 13:00. login 30045665000182 Senha astransp 12345 - 2 VT de segunda a sabado Aguardar vaiaveis p/folha</t>
  </si>
  <si>
    <t>Grazinoli</t>
  </si>
  <si>
    <t>Funcionária Christiane trabalha 4 horas por dia de segunda a sexta e 4 horas por sábado ( 2 sábados no mês).Funcionária Lilian trabalha 4 horas de segunda à sexta e 4 horas por sábado (2 sábados no mês) . Quando tiver mais de 4 sábados questionar. VT - 2 de segunda a sexta e 2 por sábado ( sábado sim/sábado não). Login - 30080169000160 senha 12345.</t>
  </si>
  <si>
    <t>Funcionário não tem vale transporte,tem assiduidade e insalubridade conforme CCT.Ainda não tem sócio.apenas 1 funcionário.</t>
  </si>
  <si>
    <r>
      <t>A funcionária Maria de Lourdes tem</t>
    </r>
    <r>
      <rPr>
        <sz val="10"/>
        <color rgb="FFFF0000"/>
        <rFont val="Calibri"/>
        <family val="2"/>
        <scheme val="minor"/>
      </rPr>
      <t xml:space="preserve"> 2 VT 3 X POR SEMANA e não desconta em folha</t>
    </r>
    <r>
      <rPr>
        <sz val="10"/>
        <rFont val="Calibri"/>
        <family val="2"/>
        <scheme val="minor"/>
      </rPr>
      <t>. Tem salário de 600,0 fixo .Horas extras lançados de forma que o valor liquido a receber feche em 600 reais</t>
    </r>
  </si>
  <si>
    <t>A funcionária Flávia tem 2vts por dia de seg a sexta.login 03950221000119 senha:12345 é bilhete único segue o caminho:pedidos/Incluir/selecione aplicação/570-B.u/próximo passo.</t>
  </si>
  <si>
    <t>Astato Equipamentos</t>
  </si>
  <si>
    <t>Recarga de vt é feito na empresa/tem retenção de nota para gps todo mês verificar com o contabil codigo 2631/Passa comissões para fechar a folha</t>
  </si>
  <si>
    <t xml:space="preserve"> Vt funcionarias Michele e Marcela, Izabel,.( Só descontamos vt na folha, ela que gera boleto na empresa)</t>
  </si>
  <si>
    <t>As funcionárias tem 20% de adiantamento todo dia 20 de cada mês. 2 VT DE SEG A SEXTA - Login: 30791687000191 senha: 12345 (cartão comum) mandar a folha de ponto</t>
  </si>
  <si>
    <t>VT - Login - 22458065000118 Senha 0408 - 2 VT de segunda à sábado - Enviar boleto dia 25 de cada mês</t>
  </si>
  <si>
    <t>STA ALONGAMENTO</t>
  </si>
  <si>
    <t>STA FISIOTERAPIA</t>
  </si>
  <si>
    <t xml:space="preserve">NATHALIA MARTINS </t>
  </si>
  <si>
    <t xml:space="preserve"> A carga horaria dos funcionários é de 180 horas mensal,veio da outra contabilidade  e permaneceu. Adicional noturno dos 2 vigias de 22:00 ás 05:00 = 8:00 horas trabalhadas x dias que trabalhou.  (Noturna 52:50 uma hora por isso 8)Adicional noturno do Fabio de 22:00 as 12:00 = 2,16 horas x dias trabalhados de terça a domingo. Feriado do vigia 12x36 não paga em folha,somente o do feriado da convenção agosto que é pago a 100%.Feriado de escala 6x1 paga normal a 100%.  (TEM PARCELAMENTO 02) Para a Gfip observar nota para compensação. Atualmente sem funcionários, passar sem movimento.</t>
  </si>
  <si>
    <t>Beleza Feminina</t>
  </si>
  <si>
    <t>VALE TRANSPORTE :  ROSI 02 VT DE SEGUNDA A SÁBADO - SITE : https://www.cartaoriocard.com.br/rcc/paraEmpresa/login - LOGIN -  MSB763 SENHA - Msb12345 Rosi mandar quantidade no site e no whats para camila  2vt seg a sabado a R$2,65 cada.Funcionarios recebem salario mais a comissão,para quem bate a meta.Tem retenção de Inss sobre Royalts no valor de 142,50 no cod 2500</t>
  </si>
  <si>
    <t>Monique Siqueira</t>
  </si>
  <si>
    <t>O funcionario tem vt DE SEG A SABADO,desconta em folha6% e geramos boleto todo mês.</t>
  </si>
  <si>
    <t>Sempre que a empresa for comprar de um produtor rural devemos fazer o recolhimento de 1,5% da nota.Cód de recolhimento é 2607.Antes de fechar ligar para saber se teve hora extra.</t>
  </si>
  <si>
    <t>2 VT por dia de seg a sex (Edmar e Edvanea zerar recibo desligados) A DOMÉSTICA MARIA APARECIDA DE FATIMA TEM 2VTS POR DIA É BILHETE ÚNICO.</t>
  </si>
  <si>
    <t>FUNC.TEM 2 VALE TRANPORTE POR DIA DE SEG A SEXTA E DESCONTA NA FOLHA 6% VALE TRANSPORTE DELA É COMUM.</t>
  </si>
  <si>
    <t>FISIO 4 KIDS</t>
  </si>
  <si>
    <t>FUNC .TEM 3 VT - POR DIA DE SEG A SEXTA E DESCONTA 6% NA FOLHA - LOGIN 22169863000120 SENHA Fisio4kids  cartao de vt é comum. Tem NF Anxo IV verificar retencoes em NF emitidas</t>
  </si>
  <si>
    <t>AS Funcionárias tem vt, (A Func.Marta  tem vt de seg a sexta Vi tória e  Carol(Licença maternidade) de seg a SAB desconta 6% em folha e geramos boleto também.Tem adiantamento de 30% todo mês. Senha astransp:52170000 login:18764067000168</t>
  </si>
  <si>
    <t>RAIDEL FILIAL</t>
  </si>
  <si>
    <t>NO MÊS 02/2019 FOI PASSADA UMA SEFIP SEM MOVIMENTO. Astransp login 27970910000234 senha vai ser 123456 Cristiane e Rosimar 2 vt de Segunda a sabado. (cartao comum)</t>
  </si>
  <si>
    <t>O funcionário Victor recebe 500,0 liquido todo mês, ele passa o valor do pró labore e é sempre o liquido.</t>
  </si>
  <si>
    <t>MYCASE FILIAL</t>
  </si>
  <si>
    <t>NA PASSAGEM DO MANUAL INFORMOU QUE A JESSICA IA PARA FILIAL COM DATA DE MARÇO.POIS JÁ ERA PARA TER SIDO FEITA.E COMENTOU QUE TEM COMISSÕES.VERIFICAR FECHAMENTO</t>
  </si>
  <si>
    <t>Tem parcelamento INSS ,buscar dentro do Ecac.Tem que atualizar o livro de registro pois na rescisão que fiz por ultimo não estava atualizado ela teve que inserir ele la dentr do livro.Passa hora extra,já enviei a atualização de como fazer o cadastro para folha.</t>
  </si>
  <si>
    <r>
      <t>3 VT POR DIA DE SEG A SEXTA</t>
    </r>
    <r>
      <rPr>
        <b/>
        <u/>
        <sz val="10"/>
        <color rgb="FFFF0000"/>
        <rFont val="Calibri"/>
        <family val="2"/>
        <scheme val="minor"/>
      </rPr>
      <t xml:space="preserve"> BILHETE UNICO</t>
    </r>
  </si>
  <si>
    <t xml:space="preserve">Tem adiantamento 40% </t>
  </si>
  <si>
    <t>Funcionarios irão receber salario da classe mas a comissão quando bater meta...ELe SEMPRE PASSA SE BATEU META E SE VAI TER BONUS E O PERCENTUAL DO BONUS. Login Astransp 28441423000328 senha 12345  Patrick 2vt são bilhete unicoB.U  e Yara 2vt vale transporte comun tem retenção de Royalts no valor de 75,00 mensal no cod 2500</t>
  </si>
  <si>
    <t>Casinha 649</t>
  </si>
  <si>
    <t>TEM RECARGA PARA A FUNCIONARIA GEISIANE RECARGA DE 145,00 MENSAL SINDCARD LOGIN 96581654787 SENHA 965816  A funcionaria Flavia entrou de licença maternidade em 26/06/2019</t>
  </si>
  <si>
    <t xml:space="preserve">ASTRANSP - LOGIN - 34184405000149  SENHA 12345 </t>
  </si>
  <si>
    <t>Login astransp 05896750609 senha 12345 bilhete único para Jonathan e Wanderson 2 por dia.Os outros funcionarios 2 por dia vale transporte comum.Paga por fora hora extra aos funcionarios 2ª a 6ª  60% ,e sabado 70% ,domingos e feriados 100%,lembrando que calcula dsr sobre as horas por fora.esta em P:\documentos\OneDrive - Novus Contabilidade\Doc Compartilhado\Pessoal\Relatórios Sefip\ALEXANDRE ABRAHAO - horas extras por fora.Funcionario de Matias recebem vt por fora 5,90 por dia(2 vt 11,80) são Jose Augusto e Jardel .Funcionário Geraldo recebe 2.949,00 por fora ,ja foi combinado assim,horas extras por fora dele soma os dois salarios conforme planilha acima. SEFIP 155</t>
  </si>
  <si>
    <t>A Funcionária que é supervisora tem uma premiação de 300,0 por mês todas as funcionárias tem vale trasnpote 2 por dia de seg a sab e desconta em folha. ELE PASSA HORA EXTRA Login:34370179000190 senha: abmlavanderias (Raquel é BILHETE ÚNICO/ Jerciane é Fernanda é comum).</t>
  </si>
  <si>
    <t>SMART NX</t>
  </si>
  <si>
    <r>
      <t xml:space="preserve">As funcionarias tem vt é descontado em folha  login:34764201000187  senha:12345 de seg a sabado </t>
    </r>
    <r>
      <rPr>
        <sz val="10"/>
        <color rgb="FFFF0000"/>
        <rFont val="Calibri"/>
        <family val="2"/>
        <scheme val="minor"/>
      </rPr>
      <t>( A FUNC.GILCILENE TEM BILHETE ÚNICO MAIS GERA 2 VTS POR DIA)</t>
    </r>
  </si>
  <si>
    <t>TODOS RECEBEM INSALUBRIDADE APENAS OS GERENTES E ADMNISTRATIVO QUE NÃO RECEBEM.TEM CONTRIBUIÇAO SINDICAL,MANDAR RELATORIO TODOS OS MESES.PASSA SE TEVE FALTA OU NÃO PARA FECHAMENTO DA FOLHA. ELICARLOS,LUCAS,MAXWEL E VANILDO TEM MENALIDADE SINDCAL EM CIMA DO SALARIO DA CLASSE,2%</t>
  </si>
  <si>
    <t>MINAS PRAIA FILIAL</t>
  </si>
  <si>
    <t>SOLPLASTIC</t>
  </si>
  <si>
    <t>PRODONTO</t>
  </si>
  <si>
    <t>TEM FATOR R (AVISAR CONTABIL PRA VER VALOR DE PRO LABORE)</t>
  </si>
  <si>
    <r>
      <t>Os funcionários tem hora extra 80% essas horas a empresa passa mensalmente ficar atendo pois tem hora extra 100% também.</t>
    </r>
    <r>
      <rPr>
        <sz val="10"/>
        <color rgb="FFFF0000"/>
        <rFont val="Calibri"/>
        <family val="2"/>
        <scheme val="minor"/>
      </rPr>
      <t>Rescisão não é cobrada. Todo mês deve enviar a sefip junto com os recibos.</t>
    </r>
  </si>
  <si>
    <t>SAPORE - FILIAL</t>
  </si>
  <si>
    <t>1013 - LETICIA-02 - ROBERTA</t>
  </si>
  <si>
    <t>Faze INSS contribuinte individual da Andreia Fialho</t>
  </si>
  <si>
    <t>ALINE-02 - ROSA</t>
  </si>
  <si>
    <t>Enviar junto com a consengeo</t>
  </si>
  <si>
    <t>ANDRÉ LUIZ - 01- VICENTINA</t>
  </si>
  <si>
    <t>SEM FUNCIONARIA</t>
  </si>
  <si>
    <t>VERIFICAR SE TEM HORAS EXTRAS</t>
  </si>
  <si>
    <t>ÉRIKA - 01- SAMARA</t>
  </si>
  <si>
    <t>Entregar ao Antônio - 2 V.T por dia de segunda a sábado 21 HE fixo - Astransp : Login CPF 57028710653 senha 12345</t>
  </si>
  <si>
    <t>JOÃO ROBERTO - 01 - ROSANGELA</t>
  </si>
  <si>
    <t>BENEFICIO até 15/02/2016</t>
  </si>
  <si>
    <t>LEILA ROTONDO - LANA</t>
  </si>
  <si>
    <t>Verificar Feriados e Faltas antes do dia 30 com Lenir ou Leila (sempre passar email para as duas).
 Paga Adicional norturno 20% 7h por dia.
 Paga no 2º dia útil, enviar antes disto
IRMÃ DO ANTÔNIO. ENVIAR FOLHA PELO SITE (Geraldo). Recibo Lanamarque por fora/funcionária sem registro. Está cadastrada no sitema só para gerar a folha. Não tem cadastro no E-social.</t>
  </si>
  <si>
    <t>LENIR ROTONDO - 01 - DAVID</t>
  </si>
  <si>
    <t>Paulo Emílio  paulo@consulteengenharia.com.br</t>
  </si>
  <si>
    <t>Top Fitness Industria - Filial 02</t>
  </si>
  <si>
    <t>• .PASSA O MOVIMENTO POR EMAIL ( O RESTANTE DAS PARTICULARIDADES ESTA NO Nº 355- MATRIZ) Meiry e kelly 2 Vt de seg a sexta.</t>
  </si>
  <si>
    <t>Top Fitness Industria - Filial 03</t>
  </si>
  <si>
    <t>• PASSA O MOVIMENTO POR EMAIL ( O RESTANTE DAS PARTICULARIDADES ESTA NO Nº 355- MATRIZ) Jucelia e Monaliza 2 Vt de seg a sabado</t>
  </si>
  <si>
    <t>Top Fitness Industria - Filial 04</t>
  </si>
  <si>
    <t>• PASSA O MOVIMENTO POR EMAIL ( O RESTANTE DAS PARTICULARIDADES ESTA NO Nº 355- MATRIZ)Tem plano de Saúde.Funcionaria Evelin está com 1 parcelamento de plano de saude 10 parcelas de 35,26 (ternimo  do desconto 08/2018).A primeira foi paga na empresa em 10/2017 em novembro começou descontar a parcela 02/10.A empresa está com crédito de INSS.Preencher mensalmente a planilha salva na pasta do escritorio.Monaliza e Cynthia 2 vt de 2º a sabado</t>
  </si>
  <si>
    <t>DR FABRÍCIO</t>
  </si>
  <si>
    <t>• BOLETO ASTRANSP CPF 050.225.526-98 - SENHA 12345 - 2º A 6º (2 POR DIA) ENVIAR RELATORIO DO PEDIDO - 
• EMAIL farlsiqueira@bol.com.br.Funcionaria Maria Paula esta de licença maternidade.esta dando credito de INSS.Preencher a planilha na pasta do escritorio</t>
  </si>
  <si>
    <t>TECHGEO - SÃO PAULO</t>
  </si>
  <si>
    <t>• GRRF CENTRALIZADA NA MATRIZ, TECHGEO LTDA - CNPJ 04.276+354/0001-14 - AV PRESIDENTE COSTA E SILVA, 1526 - LJ 152 - SÃO PEDRO - JF - MG - CEP 36.037-000
• NO MÊS DE ADMISSÃO, SE O MÊS TIVER 31 DIAS PAGAR SOBRE 31 E NÃO SOBRE 30. E DESCONTAR A CONTRIBUIÇÃO ASSISTENCIAL NO VALOR DE 6% SOBRE SALÁRIO, NO SITE WWW.COMERCIO.ORG.COM.BR - CNPJ 04.276.354/0002-03 - A PARTIR DE JULHO O PRO LABORE PASSOU A SER RETIRADO NA FILIAL</t>
  </si>
  <si>
    <t>Associação Nacional dos Aposentados dos Correios</t>
  </si>
  <si>
    <t>ALBERTONI &amp; LIMA ADM. COR.DE SEGUROS</t>
  </si>
  <si>
    <t>• 2 VT POR DIA DE 2º A 6º
• BOLETO DA ASTRANSP COM RELATORIO DO PEDIDO. CPF 41862740615 - SENHA 12345
• ENVIAR MOVIMENTO POR EMAIL ATÉ DIA 28
• CONTRIBUIÇÃO CONFEDERATIVA, PASSAR PRA RECEPÇÃO DA NOVUS, A GENTE PAGA E COBRA NO HONORÁRIO.Lança nos honorários
• MENSALMENTE PASSA HE</t>
  </si>
  <si>
    <t>GILMARA - OBRA</t>
  </si>
  <si>
    <t xml:space="preserve"> </t>
  </si>
  <si>
    <t>FERNANDO ORNELLAS</t>
  </si>
  <si>
    <r>
      <t xml:space="preserve">Verificar HE, Feriados e Faltas antes do dia 30 com Lenir ou Leila (sempre passar email para as duas) </t>
    </r>
    <r>
      <rPr>
        <sz val="10"/>
        <color rgb="FFFF0000"/>
        <rFont val="Calibri"/>
        <family val="2"/>
        <scheme val="minor"/>
      </rPr>
      <t>LANA RECEBE POR FORA</t>
    </r>
    <r>
      <rPr>
        <sz val="10"/>
        <rFont val="Calibri"/>
        <family val="2"/>
        <scheme val="minor"/>
      </rPr>
      <t xml:space="preserve">
 Paga no 2º dia útil, enviar antes disto
CUNHADO DO ANTÔNIO. ENVIAR FOLHA PELO SITE(LENIR ROTONDO) E O IMPOSTO PASSAR PARA O ANTÔNIO PAGAR</t>
    </r>
  </si>
  <si>
    <t>USUARIO</t>
  </si>
  <si>
    <t>CARL</t>
  </si>
  <si>
    <t>Quantidade de funcionários</t>
  </si>
  <si>
    <t>Quantidade de empresas sem funcionários</t>
  </si>
  <si>
    <t>Quantidade de empresas</t>
  </si>
  <si>
    <t>Anotações</t>
  </si>
  <si>
    <t>(FUNC 6 - TEM BIENIO)</t>
  </si>
  <si>
    <t xml:space="preserve"> ** PRESUMIDO</t>
  </si>
  <si>
    <t xml:space="preserve"> **  (verificar mansalmente se tem movimento)</t>
  </si>
  <si>
    <t>• ENTREGAR MOVIMENTO ATÉ DIA 28 DE CADA MÊS
• FAZER BOLETO ASTRANSP CNPJ 05.893.774/0001-02 SENHA 12345, ENVIAR HISTORICO DO PEDIDO.( esta sendo descontado plano odontológico dos funcionários o valor é fixo de 49,90 até que o dennis fale que teve alteração)O func. Diego não tem plano odontológico 
Verificar emissão de férias</t>
  </si>
  <si>
    <t>Sindicato</t>
  </si>
  <si>
    <t>CNPJ</t>
  </si>
  <si>
    <t>Federação - Data Base - Janeiro</t>
  </si>
  <si>
    <t>Engenhareiro Data Base - Abril</t>
  </si>
  <si>
    <t>Regime de tributação</t>
  </si>
  <si>
    <t>Simples</t>
  </si>
  <si>
    <t>Presumido</t>
  </si>
  <si>
    <t>Sintapi - Data Base Maio</t>
  </si>
  <si>
    <t xml:space="preserve">Simples </t>
  </si>
  <si>
    <t>CEI</t>
  </si>
  <si>
    <t xml:space="preserve">Sindicato Graficos - Data  Base Julho </t>
  </si>
  <si>
    <t>05.893.774/0001-02</t>
  </si>
  <si>
    <t>ARTWORK EMPREENDIMENTOS</t>
  </si>
  <si>
    <t xml:space="preserve">Folha e Pro labore (   )                               
INSS (   )
GFIP (  )  S/M MÊS 02.2020
</t>
  </si>
  <si>
    <r>
      <t xml:space="preserve">Folha e Pro labore (   )
INSS (   )   IRF (  )
FGTS e GFIP (   )
</t>
    </r>
    <r>
      <rPr>
        <b/>
        <sz val="9"/>
        <rFont val="Arial"/>
        <family val="2"/>
      </rPr>
      <t>Gerar Pro labore ate 12/2018 Em 01/2019 baixa</t>
    </r>
  </si>
  <si>
    <r>
      <t xml:space="preserve">Pro labore (   )
INSS (    )
GFIP (   ) </t>
    </r>
    <r>
      <rPr>
        <sz val="9"/>
        <color rgb="FFFF0000"/>
        <rFont val="Arial"/>
        <family val="2"/>
      </rPr>
      <t>deixar s/m a partir 02/2019 passar esocial s/m tb</t>
    </r>
  </si>
  <si>
    <r>
      <t xml:space="preserve">Folha e Pro labore (   )                                                                                                                                                           INSS (  )                                                                                                                                                            FGTS (  )                                                                                                                                                                                                                                                                                                                                               </t>
    </r>
    <r>
      <rPr>
        <sz val="9"/>
        <color rgb="FFFF0000"/>
        <rFont val="Arial"/>
        <family val="2"/>
      </rPr>
      <t xml:space="preserve">Plano de saúde    </t>
    </r>
    <r>
      <rPr>
        <sz val="9"/>
        <rFont val="Arial"/>
        <family val="2"/>
      </rPr>
      <t xml:space="preserve">         IRRF      (      )</t>
    </r>
  </si>
  <si>
    <r>
      <t xml:space="preserve">Pro labore (   )
INSS (   ) passar s/m 6.2019 não esta mov
GFIP (   ) </t>
    </r>
    <r>
      <rPr>
        <b/>
        <sz val="9"/>
        <color rgb="FFFF0000"/>
        <rFont val="Arial"/>
        <family val="2"/>
      </rPr>
      <t>BAIXADA EM 17/01</t>
    </r>
  </si>
  <si>
    <r>
      <t xml:space="preserve">Adiantamento (   ) até dia 20
Folha e Pro labore (   )
INSS (   )          IR (  )
FGTS e GFIP (   )
</t>
    </r>
    <r>
      <rPr>
        <b/>
        <sz val="9"/>
        <color rgb="FFFF0000"/>
        <rFont val="Arial"/>
        <family val="2"/>
      </rPr>
      <t xml:space="preserve">s/m. 02/2019                                                                                                            </t>
    </r>
  </si>
  <si>
    <r>
      <t xml:space="preserve">Folha e Pro labore (   )                                     
INSS (   )
GFIP (   )                                                                                                                                                             </t>
    </r>
    <r>
      <rPr>
        <b/>
        <sz val="9"/>
        <color rgb="FFFF0000"/>
        <rFont val="Arial"/>
        <family val="2"/>
      </rPr>
      <t>saiu em 12.2019</t>
    </r>
  </si>
  <si>
    <r>
      <t xml:space="preserve">Pro labore (   )
INSS (   )
GFIP (   )
Verificar se teve movimento pra fazer pro labore
</t>
    </r>
    <r>
      <rPr>
        <b/>
        <sz val="9"/>
        <color rgb="FFFF0000"/>
        <rFont val="Arial"/>
        <family val="2"/>
      </rPr>
      <t>Senha NF 20132013 - SM 11.2018</t>
    </r>
  </si>
  <si>
    <r>
      <t xml:space="preserve">Folha  (   )     Boleto Astransp   (   ) </t>
    </r>
    <r>
      <rPr>
        <b/>
        <sz val="9"/>
        <color rgb="FFFF0000"/>
        <rFont val="Arial"/>
        <family val="2"/>
      </rPr>
      <t>2vt de seg a sexta</t>
    </r>
    <r>
      <rPr>
        <sz val="9"/>
        <rFont val="Arial"/>
        <family val="2"/>
      </rPr>
      <t xml:space="preserve">
INSS (   )     Cont.Confederativa  (  )
FGTS e GFIP (   ) S/M DESDE DE 12/2018</t>
    </r>
  </si>
  <si>
    <r>
      <t xml:space="preserve">Pro labore (   )
INSS (   )
GFIP (   ) </t>
    </r>
    <r>
      <rPr>
        <b/>
        <sz val="9"/>
        <color rgb="FFFF0000"/>
        <rFont val="Arial"/>
        <family val="2"/>
      </rPr>
      <t>SAIU 07.2019</t>
    </r>
  </si>
  <si>
    <r>
      <t xml:space="preserve">Folha  (  )      .
INSS (   )
FGTS e GFIP (   )
</t>
    </r>
    <r>
      <rPr>
        <sz val="9"/>
        <color rgb="FFFF0000"/>
        <rFont val="Arial"/>
        <family val="2"/>
      </rPr>
      <t>Tem Gratificação + hr extra (Não paga 20% Patronal Imune)</t>
    </r>
  </si>
  <si>
    <r>
      <t xml:space="preserve">Folha  (  )
INSS (   )
FGTS e GFIP (   )
</t>
    </r>
    <r>
      <rPr>
        <sz val="9"/>
        <color rgb="FFFF0000"/>
        <rFont val="Arial"/>
        <family val="2"/>
      </rPr>
      <t>Tem Gratificação + hr extra (Não paga 20% Patronal Imune)</t>
    </r>
  </si>
  <si>
    <r>
      <t xml:space="preserve">Folha  (  )  
INSS (   )
FGTS e GFIP (   )
</t>
    </r>
    <r>
      <rPr>
        <sz val="9"/>
        <color rgb="FFFF0000"/>
        <rFont val="Arial"/>
        <family val="2"/>
      </rPr>
      <t>Tem Gratificação + hr extra (Não paga 20% Patronal Imune)</t>
    </r>
  </si>
  <si>
    <r>
      <t xml:space="preserve">Folha (  ) </t>
    </r>
    <r>
      <rPr>
        <sz val="9"/>
        <color rgb="FFFF0000"/>
        <rFont val="Arial"/>
        <family val="2"/>
      </rPr>
      <t>Passa comissão</t>
    </r>
    <r>
      <rPr>
        <sz val="9"/>
        <rFont val="Arial"/>
        <family val="2"/>
      </rPr>
      <t xml:space="preserve">
INSS (   )
FGTS e GFIP (   )    (     ) GUIA IR                                                                                                                            </t>
    </r>
  </si>
  <si>
    <r>
      <t xml:space="preserve">(  ) Folha e Pro-labore                                                                                                              (   ) GPS                                                                                                                             (   ) Guia de parcelamento Inss ECAC                                                                                                             (   ) FGTS e GFIP                                                                                                                             (   ) Vale transporte tem desconto           </t>
    </r>
    <r>
      <rPr>
        <b/>
        <sz val="9"/>
        <color rgb="FFFF0000"/>
        <rFont val="Arial"/>
        <family val="2"/>
      </rPr>
      <t xml:space="preserve">  04/2019                     </t>
    </r>
    <r>
      <rPr>
        <sz val="9"/>
        <rFont val="Arial"/>
        <family val="2"/>
      </rPr>
      <t xml:space="preserve">   </t>
    </r>
  </si>
  <si>
    <r>
      <t xml:space="preserve">Folha (  )
INSS (   )
FGTS e GFIP (   )          saiu 05.2019                                       </t>
    </r>
    <r>
      <rPr>
        <b/>
        <sz val="9"/>
        <color rgb="FFFF0000"/>
        <rFont val="Arial"/>
        <family val="2"/>
      </rPr>
      <t xml:space="preserve">SEM MOVIMENTO                </t>
    </r>
    <r>
      <rPr>
        <b/>
        <sz val="9"/>
        <rFont val="Arial"/>
        <family val="2"/>
      </rPr>
      <t xml:space="preserve">  </t>
    </r>
    <r>
      <rPr>
        <sz val="9"/>
        <rFont val="Arial"/>
        <family val="2"/>
      </rPr>
      <t xml:space="preserve">                                                                                                           </t>
    </r>
  </si>
  <si>
    <r>
      <t xml:space="preserve">Pro labore (   )
INSS (   ) 
GFIP (   )                                                   </t>
    </r>
    <r>
      <rPr>
        <b/>
        <sz val="9"/>
        <color rgb="FFFF0000"/>
        <rFont val="Arial"/>
        <family val="2"/>
      </rPr>
      <t xml:space="preserve"> S/M 02/2019</t>
    </r>
  </si>
  <si>
    <r>
      <t xml:space="preserve">Pro labore (   )
INSS (   )
GFIP (   )                                                    </t>
    </r>
    <r>
      <rPr>
        <sz val="9"/>
        <color rgb="FFFF0000"/>
        <rFont val="Arial"/>
        <family val="2"/>
      </rPr>
      <t>sefip sem mov  em 01/2019</t>
    </r>
  </si>
  <si>
    <r>
      <t xml:space="preserve">Pro labore (   )
INSS (   )
GFIP (   )                                            </t>
    </r>
    <r>
      <rPr>
        <b/>
        <sz val="9"/>
        <rFont val="Arial"/>
        <family val="2"/>
      </rPr>
      <t xml:space="preserve">  </t>
    </r>
    <r>
      <rPr>
        <b/>
        <sz val="9"/>
        <color rgb="FFFF0000"/>
        <rFont val="Arial"/>
        <family val="2"/>
      </rPr>
      <t>sefip sem mov  em 02/2019</t>
    </r>
  </si>
  <si>
    <r>
      <t xml:space="preserve">Folha e Pro labore (   )  
INSS (   )
FGTS e GFIP (  )                                                                                                               </t>
    </r>
    <r>
      <rPr>
        <b/>
        <sz val="9"/>
        <color rgb="FFFF0000"/>
        <rFont val="Arial"/>
        <family val="2"/>
      </rPr>
      <t>ENVIAR EMAIL FOLHA E OUTROS</t>
    </r>
  </si>
  <si>
    <t>Boleto astransp (Rayane E Ludmila  seg a sexta.e Lucimar é bilhete unico ao lançar vt para ela ir em b.u seg a SAB 2 vales dia cada). Enviar boleto até dia 27. Tem assiduidade.Lucimar trabalha 03 hrs de seg a sabado José lançar entre 120 e 125 hrs ( Assiduidade da horista paga de acordo com o salario do mês e DSR,junta os dois e joga 20% ). Astransp: CNPJ- 09148788000152  senha: 12345</t>
  </si>
  <si>
    <t>Pro labore (   ) (   ) Boleto vt
INSS (   )
GFIP (   )     Março</t>
  </si>
  <si>
    <t xml:space="preserve">PASSA HORA EXTRAS. TEM PLANO DE SAÚDE MAS SÓ DESCONTA DOS SÓCIOS . TEM VALE ALIMENTAÇÃO A PARTIR DE 08/2018. DESCONTAR 20% EM FOLHA REF A RECARGA DO MÊS -  17,50 DE SEG A SEXTA  VER QUANTO VAI DAR NO MÊS E DESCONTAR OS 20%(A empresa passo o valor que irá descontar) </t>
  </si>
  <si>
    <t xml:space="preserve">• MENSALMENTE PASSA HR EXTRA A 70% - COD 058
• ENVIAR RECIBO VALE TRANSPORTE (LILIA - 2 POR DIA - SEGUNDA A SEXTA - FAZER RECIBO MANUAL,está em: Doc compartilhado/escritório/dr.Oneida • FAZER BOLETO DA ASTRANSP - CPF: 13675591620- SENHA 12345 - E ENVIAR JUNTO HISTÓRICO DO PEDIDO SÓ DA FUNCIONÁRIA LUCIANA, JEANNE E M. LUCIA - SEGUNDA A SEXTA - 2 POR DIA *                -   Ela manda o dia para enviar a folha junto ao fechamento </t>
  </si>
  <si>
    <t>x</t>
  </si>
  <si>
    <t>A FUNCIONÁRIA Thaylana TEM 2 VTS DE SEG A SABADO SENHA: 12345 LOGIN:15501161000136  (VALE COMUM)</t>
  </si>
  <si>
    <t>Pro labore (   ) 
INSS (   )
GFIP (   )             01/2020</t>
  </si>
  <si>
    <t>Pro labore (   ) 
INSS (   )
GFIP (   )  BOLETO VT (   ) ELA PASSA QUANT.</t>
  </si>
  <si>
    <t>Lançar gratificação para a a edilene de R$ 300,00 reais. (demitida)</t>
  </si>
  <si>
    <t>Pro labore (   )
INSS (   )        Vale Transporte (    ) 
GFIP (   )         (  ) IR           ( ) PLANO DE SAÚDE</t>
  </si>
  <si>
    <t>VALE TRANSPORTE E FEITO NA EMPRESA DESCONTA 6% NA FOLHA. TEM PIS SOBRE FOLHA QUE RETEM DAS DUAS EMPRESAS.O IRRF JUNTA DA MATRIZ E DA FILIAL.aPOS O FECHAMENTO PEDIR A MARCELA PARA ENVIAR OS RECIBOS PARA O EMAIL DE CADA UM.</t>
  </si>
  <si>
    <t>BIOVET 4 PATAS</t>
  </si>
  <si>
    <r>
      <t xml:space="preserve">•  PLANO DE SAÚDE DA FUNCIONÁRIA (DEPENDENTE) PARA SER DESCONTADO NA FOLHA DE PAGAMENTO (somente valor do dependente e co participação). Acessar: http://www.unimedjf.coop.br/clientejuridico/acesso  - Login:  89971            Senha 12345
 •  -  LANÇAR PRODUTIVIDADE PARA A FUNCIONÁRIA LIDIANE A PARTIR DE 05/2015 - R$. 300,00
Verificar pro labore Pois tem mes que tem valor mas alto e outros baixos. mes de julho pro labore 4,500 por tres meses,depois 3,500 e permanece nesse valor  </t>
    </r>
    <r>
      <rPr>
        <sz val="10"/>
        <color rgb="FFFF0000"/>
        <rFont val="Calibri"/>
        <family val="2"/>
        <scheme val="minor"/>
      </rPr>
      <t xml:space="preserve"> LEMBRAR LILIANE TIRAR FERIAS INICIO DE JANEIRO</t>
    </r>
    <r>
      <rPr>
        <sz val="10"/>
        <rFont val="Calibri"/>
        <family val="2"/>
        <scheme val="minor"/>
      </rPr>
      <t xml:space="preserve"> </t>
    </r>
  </si>
  <si>
    <t>Recarga astrasnp para Alex,Nangelle, Sthefani e Thais 2vt seg a sabado  Login 27970910000153 senha 12345</t>
  </si>
  <si>
    <t>Somente a funcionária Rayane tem Insalubridade 20%, geramos boleto de vt e descontamos 6% em folha. Senha Astransp:liberado login:01860897000196    de seg a sabado.</t>
  </si>
  <si>
    <t>INSS (   ) SM</t>
  </si>
  <si>
    <t xml:space="preserve">Pro labore (   )                                     
INSS (   )   Tem hora HE 1 hr de seg a sex
GFIP (   )         VT (   )                                               </t>
  </si>
  <si>
    <t xml:space="preserve">• Passa valor de PROLABORE todo mês.
Estagiário é valores fixo bolsa 260 e vt 150, fechando em 410,00 todo mês. 
</t>
  </si>
  <si>
    <t xml:space="preserve">PLANO DE SAUDE DE FUNCIONÁRIOS DESCONTA APENAS CO PARTICIPAÇÃO (ela passa).
PLANO ODONTOLOGICO DESCONTA O TOTAL. (valor fixo)
Gilda tem Rpa  de 150,00 bruto, fazer Issqn (quando solicitar)
ELBIA SEMPRE MANDA FECHAMENTO, CONFIRMAR pois não é todo mês que tem RPA, observa quando manda a folha se o RPA veio junto a folha mensal, pois tem que fazer separado.
</t>
  </si>
  <si>
    <t xml:space="preserve">Adiantamento 40% (   )
Folha e Pro labore (   )
INSS (   )               Passa movimento mensal 
FGTS e GFIP (   )   
 ISSQN GILDA (   )
</t>
  </si>
  <si>
    <t xml:space="preserve">Tem funcionario em convenção do comercio e convenção do transporte. Transporte tem premiação. </t>
  </si>
  <si>
    <t xml:space="preserve">- Vale transporte por fora -&gt; modelo de recibo na pasta da NOVUS CORRETORA (desconta 6% na hora de gerar o recibo pois é feito o pagamento por fora);
- Vale alimentação bahamas card R$ 18,47 (desconta 20% na folha de pagamento) - https://b2bclient.itspay.com.br/   login: 25510747000110  senha: @Corretora541 -&gt; recibo vale alimentação colocar sempre a data do primeiro dia do mês   
- Astransp Login:25510747000110  senha:12345 (não utilizado no momento)
- Vinicius observar vale transporte estagiário na hora de realizar recibo de pagamento, para colocar conforme dias do mês.
</t>
  </si>
  <si>
    <t xml:space="preserve">GERAMOS BOLETO DE VT DE  2 SEG A SABADO E DESCONTA EM FOLHA 6% - USUÁRIO 21502184000168 SENHA 12345 (cartao comum)
Empresa 3% para conferencia
</t>
  </si>
  <si>
    <t xml:space="preserve">2 VT por dia de seg a sex - LOGIN: 29237469000120 SENHA 12345 (não gera mais boleto de vt)
Luiza Pereira: segunda, quarta e sexta 07:00 a 12:00 (5hrs por dia) e terça e quinta de 07:00 a 10:00 (3hrs por dia).
</t>
  </si>
  <si>
    <t xml:space="preserve">Lara tem múltiplos vinculos, não descontar INSS Plano da socia é fixo = 1.347,89,muda os valores anualmente. Lara 537,14 - Felipe 304,02 e Lucas 506,73
Funcionária tarbalha meio expediente, recebe meio salario da saúde + assiduidade. Em setembro de 2017 passou a trtabalhar 44 horas semanais.  - ASSIDUIDADE SALARIO CONTRATUAL </t>
  </si>
  <si>
    <t xml:space="preserve">• PAGA-SE INSALUBRIDADE 20% DO SALÁRIO - VALOR INSS - FUNCIONARIO: 2,7% + INSS  DA FOLHA DE PAGAMENTO   /email para encaminhar a folha: operacional@arcongelar.com.br </t>
  </si>
  <si>
    <r>
      <t xml:space="preserve">Folha (  )
INSS (   )     IR observar, alguns meses gera
FGTS e GFIP (   )     </t>
    </r>
    <r>
      <rPr>
        <b/>
        <sz val="9"/>
        <color rgb="FFFF0000"/>
        <rFont val="Arial"/>
        <family val="2"/>
      </rPr>
      <t xml:space="preserve">Passa todos os meses o valor do pró labore                                                                                                                      </t>
    </r>
  </si>
  <si>
    <t xml:space="preserve">Pro labore (   )  
INSS (   )
GFIP (   )  </t>
  </si>
  <si>
    <t>,</t>
  </si>
  <si>
    <t>5,</t>
  </si>
  <si>
    <t>6,</t>
  </si>
  <si>
    <t>8,</t>
  </si>
  <si>
    <t>22,</t>
  </si>
  <si>
    <t>31,</t>
  </si>
  <si>
    <t>32,</t>
  </si>
  <si>
    <t>36,</t>
  </si>
  <si>
    <t>46,</t>
  </si>
  <si>
    <t>60,</t>
  </si>
  <si>
    <t>61,</t>
  </si>
  <si>
    <t>67,</t>
  </si>
  <si>
    <t>107,</t>
  </si>
  <si>
    <t>181,</t>
  </si>
  <si>
    <t>192,</t>
  </si>
  <si>
    <t>231,</t>
  </si>
  <si>
    <t>234,</t>
  </si>
  <si>
    <t>269,</t>
  </si>
  <si>
    <t>296,</t>
  </si>
  <si>
    <t>311,</t>
  </si>
  <si>
    <t>312,</t>
  </si>
  <si>
    <t>315,</t>
  </si>
  <si>
    <t>316,</t>
  </si>
  <si>
    <t>323,</t>
  </si>
  <si>
    <t>365,</t>
  </si>
  <si>
    <t>380,</t>
  </si>
  <si>
    <t>404,</t>
  </si>
  <si>
    <t>406,</t>
  </si>
  <si>
    <t>408,</t>
  </si>
  <si>
    <t>410,</t>
  </si>
  <si>
    <t>411,</t>
  </si>
  <si>
    <t>413,</t>
  </si>
  <si>
    <t>415,</t>
  </si>
  <si>
    <t>416,</t>
  </si>
  <si>
    <t>417,</t>
  </si>
  <si>
    <t>419,</t>
  </si>
  <si>
    <t>453,</t>
  </si>
  <si>
    <t>454,</t>
  </si>
  <si>
    <t>476,</t>
  </si>
  <si>
    <t>481,</t>
  </si>
  <si>
    <t>499,</t>
  </si>
  <si>
    <t>501,</t>
  </si>
  <si>
    <t>529,</t>
  </si>
  <si>
    <t>554,</t>
  </si>
  <si>
    <t>586,</t>
  </si>
  <si>
    <t>590,</t>
  </si>
  <si>
    <t>593,</t>
  </si>
  <si>
    <t>596,</t>
  </si>
  <si>
    <t>604,</t>
  </si>
  <si>
    <t>670,</t>
  </si>
  <si>
    <t>674,</t>
  </si>
  <si>
    <t>680,</t>
  </si>
  <si>
    <t>681,</t>
  </si>
  <si>
    <t>682,</t>
  </si>
  <si>
    <t>683,</t>
  </si>
  <si>
    <t>689,</t>
  </si>
  <si>
    <t>691,</t>
  </si>
  <si>
    <t>695,</t>
  </si>
  <si>
    <t>699,</t>
  </si>
  <si>
    <t>702,</t>
  </si>
  <si>
    <t>705,</t>
  </si>
  <si>
    <t>707,</t>
  </si>
  <si>
    <t>709,</t>
  </si>
  <si>
    <t>759,</t>
  </si>
  <si>
    <t>762,</t>
  </si>
  <si>
    <t>768,</t>
  </si>
  <si>
    <t>770,</t>
  </si>
  <si>
    <t>776,</t>
  </si>
  <si>
    <t>786,</t>
  </si>
  <si>
    <t>787,</t>
  </si>
  <si>
    <t>796,</t>
  </si>
  <si>
    <t>808,</t>
  </si>
  <si>
    <t>818,</t>
  </si>
  <si>
    <t>828,</t>
  </si>
  <si>
    <t>835,</t>
  </si>
  <si>
    <t>838,</t>
  </si>
  <si>
    <t>840,</t>
  </si>
  <si>
    <t>841,</t>
  </si>
  <si>
    <t>844,</t>
  </si>
  <si>
    <t>847,</t>
  </si>
  <si>
    <t>853,</t>
  </si>
  <si>
    <t>857,</t>
  </si>
  <si>
    <t>870,</t>
  </si>
  <si>
    <t>871,</t>
  </si>
  <si>
    <t>873,</t>
  </si>
  <si>
    <t>874,</t>
  </si>
  <si>
    <t>875,</t>
  </si>
  <si>
    <t>877,</t>
  </si>
  <si>
    <t>878,</t>
  </si>
  <si>
    <t>881,</t>
  </si>
  <si>
    <t>882,</t>
  </si>
  <si>
    <t>884,</t>
  </si>
  <si>
    <t>885,</t>
  </si>
  <si>
    <t>887,</t>
  </si>
  <si>
    <t>888,</t>
  </si>
  <si>
    <t>893,</t>
  </si>
  <si>
    <t>894,</t>
  </si>
  <si>
    <t>(   ) GPS    (   ) FGTS  (   ) RECIBO                                                                              (    ) BOLETO VT - 3 VTS -  SEG A SEXTA  Bilhete único - Funcionario de licença maternidade</t>
  </si>
  <si>
    <t>Fazendo vale transporte para Lais -&gt; Login: 17859185000197 senha: 12345</t>
  </si>
  <si>
    <t>Enviar junto com a Clinica nucleo matriz - 63 - recarga feita no site rio card (Ligar para o sind antes de gerar a folha para saber se já teve reajuste salarial) /  2 VT de Seg a Sexta  Valor do vale 4,30  Site Rio Card    Login C24846297 Senha Clinica20   https://www.cartaoriocard.com.br/rcc/paraEmpresa/login</t>
  </si>
  <si>
    <t>Lançar gratificação fixa para Marluce 252,00  Esta com um parcelamennto pela sispar de irrf e pis sobre folha.</t>
  </si>
  <si>
    <t>Possui 2 funcionarios com horas noturnas. Carlos possui 1h noturna dando 1,23 horas noturnas e Ezequiel é totalmente noturno dando 6,42 horas por noite.  Ela passa quantidade total de hora noturna  por solicitação e é transformado colocando 1,142857, para saber as horas noturnas.ENVIAR RECIBO SEPARADO DE PROLABORE</t>
  </si>
  <si>
    <t>PEDRO PAULO DE MELO</t>
  </si>
  <si>
    <t xml:space="preserve">Folha e Pro labore (   )
INSS (   ) (   ) IR
FGTS e GFIP (   ) </t>
  </si>
  <si>
    <t>(   ) PRO LABORE      (   ) INSS        (   )GFIP passa fechamento horas extras              (    ) Adianatamento</t>
  </si>
  <si>
    <t>MARÇO</t>
  </si>
  <si>
    <t xml:space="preserve">Pro labore (   ) 
INSS (   )
GFIP (   )  </t>
  </si>
  <si>
    <t>R. M. PIMONT</t>
  </si>
  <si>
    <t xml:space="preserve"> Pro labore (    ) INSS (   )   FGTS(    )  IRF(  )  Passa HE - cobrar  saiu em02/2020</t>
  </si>
  <si>
    <t>Pro labore (   ) saiu 02/2020
INSS (   )
GFIP (   )     (   ) IRRF</t>
  </si>
  <si>
    <t>sem funcionários.Passar SM 12.2019 saiu 01.2020</t>
  </si>
  <si>
    <t xml:space="preserve">Folha (  ) Vt (  )
INSS (   )                                 
FGTS e GFIP (   )     foi feito o reajuste 07/2019                          feito ate 02/2020                                                                                          </t>
  </si>
  <si>
    <t>ESOCIAL DOMESTICO   4 VT seg a sexta</t>
  </si>
  <si>
    <t>Recibo e-social (   )                             Guia e-social (   )   TEM VT MAS NÃO DESCONTA EM FOLHA. SEG A SEXTA tem VT 2 por dia.Confirmar com ela a quantidade de recargas serão feitas 98801-6739.  Rescisão em 31/01/2020</t>
  </si>
  <si>
    <t xml:space="preserve">  * Tem plano de saude, ela envia o valor. A func. Luana é horista ela passa as horas mensalmente e tem vt descontado em folha 6%. Tem adiantamendo mensal de 30% conforme convenção.</t>
  </si>
  <si>
    <t>Folha e Pro labore (   )  Adiantamento mensal 30% (   ) 
INSS (   )
FGTS e GFIP (    )                                                                                                                                                       TEM HORA EXTRA e PLANO DE SAÚDE</t>
  </si>
  <si>
    <r>
      <t xml:space="preserve">E - SOCIAL  (   )                                            VT (  ) Descontar 6%     2v seg a sab                   </t>
    </r>
    <r>
      <rPr>
        <b/>
        <sz val="9"/>
        <color rgb="FFFF0000"/>
        <rFont val="Arial"/>
        <family val="2"/>
      </rPr>
      <t xml:space="preserve">Entregar Antonio  </t>
    </r>
    <r>
      <rPr>
        <sz val="9"/>
        <rFont val="Arial"/>
        <family val="2"/>
      </rPr>
      <t xml:space="preserve">     </t>
    </r>
  </si>
  <si>
    <r>
      <t xml:space="preserve">Recibo e-social (   )                                                                                                                        Guia e-social (   )                                                                                                                                                     </t>
    </r>
    <r>
      <rPr>
        <sz val="9"/>
        <color theme="1"/>
        <rFont val="Arial"/>
        <family val="2"/>
      </rPr>
      <t>VT (  ) 2 VT DE SEG A SEX</t>
    </r>
    <r>
      <rPr>
        <b/>
        <sz val="9"/>
        <color theme="1"/>
        <rFont val="Arial"/>
        <family val="2"/>
      </rPr>
      <t xml:space="preserve">  Login  senha 12345         2 vt seg a sabado        </t>
    </r>
    <r>
      <rPr>
        <sz val="9"/>
        <rFont val="Arial"/>
        <family val="2"/>
      </rPr>
      <t xml:space="preserve">                                                  </t>
    </r>
    <r>
      <rPr>
        <b/>
        <sz val="9"/>
        <color rgb="FFFF0000"/>
        <rFont val="Arial"/>
        <family val="2"/>
      </rPr>
      <t xml:space="preserve">Entregar o mov. para Sr. Antônio  </t>
    </r>
    <r>
      <rPr>
        <sz val="9"/>
        <color rgb="FFFF0000"/>
        <rFont val="Arial"/>
        <family val="2"/>
      </rPr>
      <t xml:space="preserve">                          </t>
    </r>
    <r>
      <rPr>
        <sz val="9"/>
        <rFont val="Arial"/>
        <family val="2"/>
      </rPr>
      <t xml:space="preserve">                                                                    </t>
    </r>
  </si>
  <si>
    <t xml:space="preserve">RECARGA DE VALE TRANSPORTE É FEITA NA EMPRESA MESMO.( DESCONTAR 6% DE VT CLARA,JOSE MARIA,KAIQUE,RENE,RODRIGO TEIXEIRA E SAMUEL)AS COMISSÕES SÃO PASSADAS VALORES INTEGRAIS E SEPARAMOS O DSR AQUI( esta na planilha em P:\documentos\OneDrive - Novus Contabilidade\NOVO DOC COMPARTILHADO\Pessoal\Relatórios Sefip\BOA VISTA PROTESE\2019) Passa fechamento todo mês no dia 02 OU 03. Tem plano de saude e descontos exames,devido a isso passa o fechamneto depois do dia 02.Tem duas convençoes motorista e saude dESCONTO DE ALIMENTAÇÃO DOS MOTOBOYS É DE 20% DA RECARGA QUE ELE FAZ,FAZER ALTERAÇÃO POIS ELE LANÇA O VALOR TOTAL.PLANO PLASC CASO PRECISE É LOGIN 1554 E A SENHA O CNPJ DA EMPRESA.(no boleto vem o número do contrato. Este número do contrato é o login (excluindo o 9 que vem na frente)Tem uma retenção de nota que a empresa que retem manda a guia pra eles mensalmente.
</t>
  </si>
  <si>
    <t xml:space="preserve">Recibo e-social (   )                                                                                          Guia e-social (   )                                                                                                       (  ) VT 2 vt 3x por semana                                                                         Login: 47471247649 senha 12345                            TEM PARTICULARIDADES                        </t>
  </si>
  <si>
    <t>não tem funcionario. So pro labore</t>
  </si>
  <si>
    <t>S/M 05/2016 saiu 03.2020</t>
  </si>
  <si>
    <t>Pro labore (   ) saiu 02.2020
INSS (   )
GFIP (   )</t>
  </si>
  <si>
    <t>VERIFICAR EMISSA DE NF</t>
  </si>
  <si>
    <t xml:space="preserve">VERIFICAR EMISSA DE NF </t>
  </si>
  <si>
    <r>
      <t xml:space="preserve">Pro labore (   )
INSS (   )
GFIP (   )                                    </t>
    </r>
    <r>
      <rPr>
        <b/>
        <sz val="9"/>
        <color rgb="FFFF0000"/>
        <rFont val="Arial"/>
        <family val="2"/>
      </rPr>
      <t xml:space="preserve"> GFIP s/m 11/2018 VER NF NO SETOR FISCAL</t>
    </r>
  </si>
  <si>
    <t>verificar o valor de vt das funcionárias kerolyn e  Carolina. Fixo todo mês. R$ 161,25</t>
  </si>
  <si>
    <t>Tem recarga de vt login - 06392715614   senha 12345  TRCT 31/01/2020</t>
  </si>
  <si>
    <t>ENGGEOTECH</t>
  </si>
  <si>
    <t>VETOR AGROPECUÁRIA</t>
  </si>
  <si>
    <t>ARTWORK COMUNICAÇÃO</t>
  </si>
  <si>
    <t>PQ TENNIS CENTER</t>
  </si>
  <si>
    <t>10.279.641/0001-80</t>
  </si>
  <si>
    <t>CONSULTE CONSULTORES</t>
  </si>
  <si>
    <t>20.459855/0001-92</t>
  </si>
  <si>
    <t>04.961.014/0001-22</t>
  </si>
  <si>
    <t>06.057.195/0001-92</t>
  </si>
  <si>
    <t>CONSENGEO</t>
  </si>
  <si>
    <t>06.893.915/0001-50</t>
  </si>
  <si>
    <t>ALF CONSULTORIA</t>
  </si>
  <si>
    <t>CONSULTAR MOV MENSALMENTE</t>
  </si>
  <si>
    <t>07.110.525/0001-29</t>
  </si>
  <si>
    <t>EDUWORK CONSULTORIA</t>
  </si>
  <si>
    <t>07.825.653/0001-59</t>
  </si>
  <si>
    <t>02.881.281/0001-64</t>
  </si>
  <si>
    <t>00.411.807/0001-17</t>
  </si>
  <si>
    <t>ALBERTONI &amp; LIMA</t>
  </si>
  <si>
    <t>03.655.043/0001-01</t>
  </si>
  <si>
    <t>AAA ARSENIC</t>
  </si>
  <si>
    <t>PLANO SAÚDE</t>
  </si>
  <si>
    <t>09.059.360/0001-33</t>
  </si>
  <si>
    <t>UNIAO BRASILEIRA</t>
  </si>
  <si>
    <t>02.881.802/0001-83</t>
  </si>
  <si>
    <t>Associação</t>
  </si>
  <si>
    <t>NOVUS ASSESSORIA</t>
  </si>
  <si>
    <t>38.536.678/0001-66</t>
  </si>
  <si>
    <t>CASTRO ALVES</t>
  </si>
  <si>
    <t>08.574.540/0001-90</t>
  </si>
  <si>
    <t>VIA BRASIL COMERCIO</t>
  </si>
  <si>
    <t>08.687.585/0001-71</t>
  </si>
  <si>
    <t>08.817.860/0001-24</t>
  </si>
  <si>
    <t>LIGIA PLOTAGENS</t>
  </si>
  <si>
    <t xml:space="preserve">SINTAPPI MG - MAIO   </t>
  </si>
  <si>
    <t>01.664.117/0001-32</t>
  </si>
  <si>
    <t>GUEDES E ALVES LTDA</t>
  </si>
  <si>
    <t>86.496.460/0001-78</t>
  </si>
  <si>
    <t>TOKSUTILL CONFECCOES</t>
  </si>
  <si>
    <t>10.016.223/0001-09</t>
  </si>
  <si>
    <t>AGER CONSULTORIA</t>
  </si>
  <si>
    <t>10.429.971/0001-05</t>
  </si>
  <si>
    <t>10.509.787/0001-75</t>
  </si>
  <si>
    <t xml:space="preserve"> sind: metalurgicos data base: Setembro</t>
  </si>
  <si>
    <t>GLAUCAR AUTOMOTIVOS</t>
  </si>
  <si>
    <t>MOHENY CONSULTORIA</t>
  </si>
  <si>
    <t>04.044.209/0001-08</t>
  </si>
  <si>
    <t>09.313.452/0001-06</t>
  </si>
  <si>
    <t>LUCIANO DE ASSUNÇÃO</t>
  </si>
  <si>
    <t>CAMILA MASINI</t>
  </si>
  <si>
    <t>NÃO ENVIAR PRO LABORE</t>
  </si>
  <si>
    <t>10.464.752/0001-67</t>
  </si>
  <si>
    <t>04.043.737/0001-42</t>
  </si>
  <si>
    <t>RAFAEL CERQUEIRA</t>
  </si>
  <si>
    <t>sind: comércio data base: outubro</t>
  </si>
  <si>
    <t>21.104.245/0001-39</t>
  </si>
  <si>
    <t>IRAN MATRIZ</t>
  </si>
  <si>
    <t>06.273.925/0001-92</t>
  </si>
  <si>
    <t>SL RODRIGUES RIBEIRO</t>
  </si>
  <si>
    <t>25.154.766/0001-51</t>
  </si>
  <si>
    <t>10.742.837/0001-60</t>
  </si>
  <si>
    <t>10.795.073/0001-70</t>
  </si>
  <si>
    <t>SINDICATO DA SAÚDE -  Data base: MAIO</t>
  </si>
  <si>
    <t>CLINICA NUCLEO MT</t>
  </si>
  <si>
    <t>10.800.306/0001-86</t>
  </si>
  <si>
    <t>EDUWORK</t>
  </si>
  <si>
    <t>10.727.200/0001-02</t>
  </si>
  <si>
    <t>10.831.970/0001-92</t>
  </si>
  <si>
    <t>LEIS DE OLIVEIRA</t>
  </si>
  <si>
    <t>10.444.526/0001-14</t>
  </si>
  <si>
    <t>MUTIRAO DA MENINADA</t>
  </si>
  <si>
    <t>CEI 426400167609</t>
  </si>
  <si>
    <t>SINDICATO DA SAÚDE - Data base: MAIO</t>
  </si>
  <si>
    <t>ALDO DE ALCANTARA</t>
  </si>
  <si>
    <t>CEI 500136162303</t>
  </si>
  <si>
    <t xml:space="preserve">SINDICATO DA SAÚDE -  Data base: MAIO </t>
  </si>
  <si>
    <t>ELISABETH MENDONÇA</t>
  </si>
  <si>
    <t xml:space="preserve">CEI 113671636701 </t>
  </si>
  <si>
    <t xml:space="preserve"> SINDICATO DA SÁUDE -  Data base: MAIO</t>
  </si>
  <si>
    <t>LUCIA DE ARAUJO CEI</t>
  </si>
  <si>
    <t>ONEIDA - CONSULTÓRIO</t>
  </si>
  <si>
    <t>CEI 113671143106</t>
  </si>
  <si>
    <t>09.143.618/0001-85</t>
  </si>
  <si>
    <t>05.892.155/0001-01</t>
  </si>
  <si>
    <t>HENAUT E FILHOS MAT</t>
  </si>
  <si>
    <t>09.149.494/0001-45</t>
  </si>
  <si>
    <t>STASERA RESTAURANTE</t>
  </si>
  <si>
    <t>09.567.993/0001-52</t>
  </si>
  <si>
    <t>07.707.353/0001-75</t>
  </si>
  <si>
    <t>ZRS SERVICOS</t>
  </si>
  <si>
    <t>MARQUES &amp; ADVOGADOS</t>
  </si>
  <si>
    <t>09.361.457/0001-04</t>
  </si>
  <si>
    <t xml:space="preserve">CEI 335200025188 </t>
  </si>
  <si>
    <t>ONEIDA - SÍTIO</t>
  </si>
  <si>
    <t xml:space="preserve"> 10.717.991/0001-81 </t>
  </si>
  <si>
    <t>SINDICATO DA SAÚDE -   Data base: MAIO</t>
  </si>
  <si>
    <t>CLINICAR - CLINICA</t>
  </si>
  <si>
    <t>ENGEOTECH EMPREENDIMENTOS</t>
  </si>
  <si>
    <t>Verificar Mensalmente se tem movimento</t>
  </si>
  <si>
    <t>11.444.514/0001-52</t>
  </si>
  <si>
    <t>ASS VINA DEL MAR</t>
  </si>
  <si>
    <t>10.713.846/0001-22</t>
  </si>
  <si>
    <t>ASSOCIACAO DE AMIGOS</t>
  </si>
  <si>
    <t>21.178.934/0001-98</t>
  </si>
  <si>
    <t>PAULO EMILIO DOS SANTOS QUEIROZ</t>
  </si>
  <si>
    <t>01.604.730/0001-64</t>
  </si>
  <si>
    <t>01.253.585/0001-14</t>
  </si>
  <si>
    <t>RGS ENGENHARIA</t>
  </si>
  <si>
    <t>03.707.784/0001-80</t>
  </si>
  <si>
    <t>PEPE SOFTWARE LTDA</t>
  </si>
  <si>
    <t>39.419.841/0001-73</t>
  </si>
  <si>
    <t>25.386.954/0001-05</t>
  </si>
  <si>
    <t>DOMINGOS SAVIO</t>
  </si>
  <si>
    <t>COPAS LTDA - ME</t>
  </si>
  <si>
    <t>11.720.180/0001-00</t>
  </si>
  <si>
    <t>CEI 500761496708</t>
  </si>
  <si>
    <t xml:space="preserve">SINDICATO DA SÁUDE -  Data base: MAIO   </t>
  </si>
  <si>
    <t>MARIA LUIZA LIMA</t>
  </si>
  <si>
    <t>11.790.161/0001-42</t>
  </si>
  <si>
    <t>04.136.533/0001-56</t>
  </si>
  <si>
    <t>sind: metalurgico data base:Setembro</t>
  </si>
  <si>
    <t>SOUZA CAR LTDA - ME</t>
  </si>
  <si>
    <t>08.990.570/0001-88</t>
  </si>
  <si>
    <t>11.925.169/0001-79</t>
  </si>
  <si>
    <t>P H I REPRESENTACOES</t>
  </si>
  <si>
    <t>00.897.738/0001-01</t>
  </si>
  <si>
    <t>TOCANTINS</t>
  </si>
  <si>
    <t>07.799.780/0001-20</t>
  </si>
  <si>
    <t>REPRE REPRESENTACOES</t>
  </si>
  <si>
    <t>03.323.005/0001-43</t>
  </si>
  <si>
    <t>10.279.249/0001-31</t>
  </si>
  <si>
    <t>SISORC SOFTWARE</t>
  </si>
  <si>
    <t>sind:saúde data base:maio</t>
  </si>
  <si>
    <t>12.759.011/0001-39</t>
  </si>
  <si>
    <t>GESTIVA GESTAO</t>
  </si>
  <si>
    <t>10.929.760/0001-31</t>
  </si>
  <si>
    <t>09.489.627/0001-22</t>
  </si>
  <si>
    <t>SINDICATO DA SÁUDE /ENFERMEIROS- MAIO/MARCO</t>
  </si>
  <si>
    <t>13.358.073/0001-00</t>
  </si>
  <si>
    <t>UROCLINICA LTDA - ME</t>
  </si>
  <si>
    <t>ENGELABOR ENGENHARIA</t>
  </si>
  <si>
    <t>13.433.227/0001-72</t>
  </si>
  <si>
    <t xml:space="preserve">13.482.473/0001-14 </t>
  </si>
  <si>
    <t xml:space="preserve">SINDICATO DA SAÚDE - Data base: MAIO    </t>
  </si>
  <si>
    <t>13.495.931/0001-50</t>
  </si>
  <si>
    <t>EURO ELERATI</t>
  </si>
  <si>
    <t>13.536.585/0001-00</t>
  </si>
  <si>
    <t>ATC PRODUCOES</t>
  </si>
  <si>
    <t>13.548.351/0001-83</t>
  </si>
  <si>
    <t>CEI 512117533085</t>
  </si>
  <si>
    <t>Data base: Janeiro</t>
  </si>
  <si>
    <t>PEDRO AURELIO</t>
  </si>
  <si>
    <t>Sítio</t>
  </si>
  <si>
    <t>J.C.M. LOCACAO</t>
  </si>
  <si>
    <t>86.652.534/0001-18</t>
  </si>
  <si>
    <t>Data base maio</t>
  </si>
  <si>
    <t>13.781.853/0001-50</t>
  </si>
  <si>
    <t>RM LABORATORIO</t>
  </si>
  <si>
    <t>01.149.866/0001-21</t>
  </si>
  <si>
    <t>sind: Sindibref mg data base: Janeiro</t>
  </si>
  <si>
    <t>GRUPO CASA</t>
  </si>
  <si>
    <t>sind:comércio data base:outubro</t>
  </si>
  <si>
    <t>MOTOLIMA COMERCIAL</t>
  </si>
  <si>
    <t>08.468.470/0001-96</t>
  </si>
  <si>
    <t xml:space="preserve"> SIND: TRANSPORTES  DATA BASE: MAIO  </t>
  </si>
  <si>
    <t>13.944.643/0001-35</t>
  </si>
  <si>
    <t>ONLY DRIVERS AGENCIA</t>
  </si>
  <si>
    <t>ORG RELIGIOSA</t>
  </si>
  <si>
    <t>IGREJA</t>
  </si>
  <si>
    <t>97.553.726/0001-21</t>
  </si>
  <si>
    <t>02.329.318/0001-46</t>
  </si>
  <si>
    <t>DATA BASE: FEVEREIRO</t>
  </si>
  <si>
    <t>Simoles</t>
  </si>
  <si>
    <t>14.278.281/0001-53</t>
  </si>
  <si>
    <t>Data base: Outubro</t>
  </si>
  <si>
    <t>SILVANIA MIRTES</t>
  </si>
  <si>
    <t>JOSE CARLOS</t>
  </si>
  <si>
    <t>13.663.038/0001-96</t>
  </si>
  <si>
    <t>CONFIANCA</t>
  </si>
  <si>
    <t>14.299.482/0001-37</t>
  </si>
  <si>
    <t>14.777.439/0001-30</t>
  </si>
  <si>
    <t>META MAX</t>
  </si>
  <si>
    <t>14.837.410/0001-04</t>
  </si>
  <si>
    <t>ESTUDE FACIL LTDA</t>
  </si>
  <si>
    <t>13.704.602/0001-71</t>
  </si>
  <si>
    <t xml:space="preserve"> Data base: abril</t>
  </si>
  <si>
    <t>15.276.438/0001-74</t>
  </si>
  <si>
    <t>WM CONSTRUTORA</t>
  </si>
  <si>
    <t>15.568.145/0001-60</t>
  </si>
  <si>
    <t>DABLIU STUDIO</t>
  </si>
  <si>
    <t>14.615.433/0001-66</t>
  </si>
  <si>
    <t>ANA LUCIA</t>
  </si>
  <si>
    <t>PAULO CICERO</t>
  </si>
  <si>
    <t>15.547.042/0001-14</t>
  </si>
  <si>
    <t>Data base: maio</t>
  </si>
  <si>
    <t>15.681.040/0001-13</t>
  </si>
  <si>
    <t>IN JF CLINICA</t>
  </si>
  <si>
    <t>15.685.378/0001-43</t>
  </si>
  <si>
    <t xml:space="preserve"> Cod Gfip  - 155</t>
  </si>
  <si>
    <t>ROYALTEK</t>
  </si>
  <si>
    <t>15.728.127/0001-07</t>
  </si>
  <si>
    <t>PAULO SCAFUTTO</t>
  </si>
  <si>
    <t>15.761.981/0001-67</t>
  </si>
  <si>
    <t>P. L. NETO REPRESENT</t>
  </si>
  <si>
    <t>86.542.966/0001-76</t>
  </si>
  <si>
    <t>JOAO PAULO</t>
  </si>
  <si>
    <t>16.670.281/0001-20</t>
  </si>
  <si>
    <t>14.170.283/0001-24</t>
  </si>
  <si>
    <t>CIAPE</t>
  </si>
  <si>
    <t>VANTUIL</t>
  </si>
  <si>
    <t>17.330.220/0001-86</t>
  </si>
  <si>
    <t>17.331.397/0001-05</t>
  </si>
  <si>
    <t>PL INSTALACOES</t>
  </si>
  <si>
    <t>15.749.928/0001-40</t>
  </si>
  <si>
    <t>INSTITUTO BRASILEIRO</t>
  </si>
  <si>
    <t>01.649.240/0001-84</t>
  </si>
  <si>
    <t>HF SIDE</t>
  </si>
  <si>
    <t>03.081.170/0001-36</t>
  </si>
  <si>
    <t>PRIME TECH</t>
  </si>
  <si>
    <t>17.570.395/0001-60</t>
  </si>
  <si>
    <t>11.105.223/0001-30</t>
  </si>
  <si>
    <t xml:space="preserve"> BARES/MAIO</t>
  </si>
  <si>
    <t>REGAPI MATRIZ</t>
  </si>
  <si>
    <t>09.400.376/0001-68</t>
  </si>
  <si>
    <t>DELICK MATRIZ</t>
  </si>
  <si>
    <t>11.937.120/0001-36</t>
  </si>
  <si>
    <t>DIFUSÃO LTDA - ME</t>
  </si>
  <si>
    <t>HIBISCO COMUNICACAO</t>
  </si>
  <si>
    <t>18.142.563/0001-80</t>
  </si>
  <si>
    <t xml:space="preserve">sind:saúde data base:maio </t>
  </si>
  <si>
    <t>18.298.987/0001-38</t>
  </si>
  <si>
    <t>CENCEODONTO</t>
  </si>
  <si>
    <t>M&amp;T CONSTRUCAO LTDA</t>
  </si>
  <si>
    <t>18.531.623/0001-56</t>
  </si>
  <si>
    <t>18.492.296/0001-70</t>
  </si>
  <si>
    <t>FEDERAÇÃO DO COM. Data Base: JANEIRO</t>
  </si>
  <si>
    <t>18.832.880/0001-28</t>
  </si>
  <si>
    <t>FBL COMUNICACAO</t>
  </si>
  <si>
    <t>19.082.616/0001-87</t>
  </si>
  <si>
    <t>19.108.127/0001-57</t>
  </si>
  <si>
    <t>TK DOCERIA LTDA - ME</t>
  </si>
  <si>
    <t>19.726.624/0001-19</t>
  </si>
  <si>
    <t>SOUZA SILVA</t>
  </si>
  <si>
    <t>RR CONSTRUCOES</t>
  </si>
  <si>
    <t>18.190.619/0001-71</t>
  </si>
  <si>
    <t>19.113.043/0001-01</t>
  </si>
  <si>
    <t>PATRICIA BASTOS</t>
  </si>
  <si>
    <t>18.847.341/0001-62</t>
  </si>
  <si>
    <t>19.298.902/0001-84</t>
  </si>
  <si>
    <t>17.786.821/0001-06</t>
  </si>
  <si>
    <t>L2 ARQUITETURA LTDA</t>
  </si>
  <si>
    <t>SIND COMÉRCIO DATA BASE:Outubro</t>
  </si>
  <si>
    <t>OURO CAR MULTIMARCAS</t>
  </si>
  <si>
    <t>19.454.119/0001-62</t>
  </si>
  <si>
    <t>SIND: CONFECÇÕES DO VESTUÁRIO DATA BASE: FEVEREIRO</t>
  </si>
  <si>
    <t xml:space="preserve">19.523.385/000108 </t>
  </si>
  <si>
    <t>MAICO B. JAQUEL - ME</t>
  </si>
  <si>
    <t>SOMMAR BRASIL EIRELI</t>
  </si>
  <si>
    <t>17.845.695/0001-05</t>
  </si>
  <si>
    <t>GLOBAL CENTER</t>
  </si>
  <si>
    <t>17.364.839/0001-01</t>
  </si>
  <si>
    <t>AMCA CONSULTORES</t>
  </si>
  <si>
    <t>19.776.751/0001-22</t>
  </si>
  <si>
    <t xml:space="preserve">sind: Sincor Data Base: Janeiro </t>
  </si>
  <si>
    <t xml:space="preserve"> 38.652.087/0001-54</t>
  </si>
  <si>
    <t>CALU COMERCIO</t>
  </si>
  <si>
    <t>19.809.682/0001-06</t>
  </si>
  <si>
    <t>19.924.465/0001-67</t>
  </si>
  <si>
    <t>MARCELLO PEPE</t>
  </si>
  <si>
    <t>CARLA MONTONI</t>
  </si>
  <si>
    <t>15.212.405/0001-60</t>
  </si>
  <si>
    <t>19.925.226/0001-21</t>
  </si>
  <si>
    <t>WALDIR PEREIRA</t>
  </si>
  <si>
    <t>19.999.110/0001-37</t>
  </si>
  <si>
    <t>FANIOLINI</t>
  </si>
  <si>
    <t>CERVEJARIA ARTHORIUS</t>
  </si>
  <si>
    <t>20.040.156/0001-03</t>
  </si>
  <si>
    <t>ELITE CORRETORA</t>
  </si>
  <si>
    <t>20.032.516/0001-25</t>
  </si>
  <si>
    <t>Cod. Gfip - 155</t>
  </si>
  <si>
    <t>MOURA E SILVA</t>
  </si>
  <si>
    <t>10.716.438/0001-24</t>
  </si>
  <si>
    <t>20.934.951/0001-45</t>
  </si>
  <si>
    <t>GLOBAL CENTRO COMERCIAL E DISTRIBUICAO</t>
  </si>
  <si>
    <t>ULTRA SCAN</t>
  </si>
  <si>
    <t>21.010.729/0001-19</t>
  </si>
  <si>
    <t>23.245.145/0001-58</t>
  </si>
  <si>
    <t>ARCONGEL MATRIZ</t>
  </si>
  <si>
    <t>FEDERAÇÃO DO COMERCIO Data Base: Janeiro</t>
  </si>
  <si>
    <t>CASSIO ELIZIO</t>
  </si>
  <si>
    <t>00.884.534/0001-28</t>
  </si>
  <si>
    <t>FERTEL</t>
  </si>
  <si>
    <t>10.341.129/0001-17</t>
  </si>
  <si>
    <t>CEI 512151545008</t>
  </si>
  <si>
    <t>EDRIVE</t>
  </si>
  <si>
    <t>05.990.722/0001-54</t>
  </si>
  <si>
    <t>METALURGICO   SETEMBRO</t>
  </si>
  <si>
    <t>09.102.205/0001-52</t>
  </si>
  <si>
    <t>APOIO DESENHOS LTDA</t>
  </si>
  <si>
    <t>FEDERAÇÃO DATA BASE: JANEIRO</t>
  </si>
  <si>
    <t>14.227.622/0001-61</t>
  </si>
  <si>
    <t>TOP MAIS PRODUCOES</t>
  </si>
  <si>
    <t>sind: Mobiliario Data base: Abril</t>
  </si>
  <si>
    <t>21.966.919/0001-04</t>
  </si>
  <si>
    <t>MEDIRE INDUSTRIA</t>
  </si>
  <si>
    <t>Sind: confecção do vestuário Data Base: Fevereiro</t>
  </si>
  <si>
    <t>12.729.583/0001-75</t>
  </si>
  <si>
    <t>MITO ESPORTE</t>
  </si>
  <si>
    <t>MARCELO M. COSTA</t>
  </si>
  <si>
    <t>22.749.828/0001-80</t>
  </si>
  <si>
    <t>RUBENS MUSCARDI - ME</t>
  </si>
  <si>
    <t>22.714.867/0001-41</t>
  </si>
  <si>
    <t>011.832.736-49</t>
  </si>
  <si>
    <t>LUCIA FURTADO</t>
  </si>
  <si>
    <t>209.620.026-15</t>
  </si>
  <si>
    <t>HIGINA MARIA</t>
  </si>
  <si>
    <t>sind: Metalurgico Data base: Setembro</t>
  </si>
  <si>
    <t>22.839.270/0001-23</t>
  </si>
  <si>
    <t>WELLERSON CARVALHO</t>
  </si>
  <si>
    <t>23.265.636/0001-60</t>
  </si>
  <si>
    <t>POPULUS TREINAMENTO</t>
  </si>
  <si>
    <t>10.325.713/0001-89</t>
  </si>
  <si>
    <t xml:space="preserve"> SINTAPPI/MAIO</t>
  </si>
  <si>
    <t>VOITTO TREINAMENTO</t>
  </si>
  <si>
    <t>RITA AMONICA</t>
  </si>
  <si>
    <t>22.958.239/0001-01</t>
  </si>
  <si>
    <t>SINDICATO DA SAÚDE - Data Base: MAIO</t>
  </si>
  <si>
    <t xml:space="preserve"> 21.603.129/0001-64</t>
  </si>
  <si>
    <t>LARA C. S LOPES</t>
  </si>
  <si>
    <t>20.546.608/0001-23</t>
  </si>
  <si>
    <t>POUSADA MARIA VEIGA</t>
  </si>
  <si>
    <t>23.480.751/0001-58</t>
  </si>
  <si>
    <t>sind: comércio data base: Outubro</t>
  </si>
  <si>
    <t>TV JUIZBIJUTERIA</t>
  </si>
  <si>
    <t>CONDOMINIO RESIDENCIAL LES MAISONS</t>
  </si>
  <si>
    <t>Condomínio</t>
  </si>
  <si>
    <t>23.448.719/0001-95</t>
  </si>
  <si>
    <t>20.424.918/0001-75</t>
  </si>
  <si>
    <t>sind: saloes data base:Março</t>
  </si>
  <si>
    <t>RHEMA CABELO</t>
  </si>
  <si>
    <t>410.910.606-06</t>
  </si>
  <si>
    <t>MARIANGELA ASSUMPCAO</t>
  </si>
  <si>
    <t xml:space="preserve">23.843.502/0001-80 </t>
  </si>
  <si>
    <t>APW TECNOLOGIA LTDA</t>
  </si>
  <si>
    <t>22.296.318/0001-02</t>
  </si>
  <si>
    <t xml:space="preserve">Data base:  outubro  </t>
  </si>
  <si>
    <t xml:space="preserve">02.052.576/0001-28 </t>
  </si>
  <si>
    <t>JF PET DISTRIBUICAO</t>
  </si>
  <si>
    <t>HUGO OLIVEIRA</t>
  </si>
  <si>
    <t>12.999.219/0001-25</t>
  </si>
  <si>
    <t>SINDIBREF/JANEIRO</t>
  </si>
  <si>
    <t>07.030.719/0001-14</t>
  </si>
  <si>
    <t>ABBAC JF CENTRO</t>
  </si>
  <si>
    <t>07.030.719/0002-03</t>
  </si>
  <si>
    <t>ABBAC BOM JARDIM MG</t>
  </si>
  <si>
    <t>07.030.719/0003-86</t>
  </si>
  <si>
    <t>ABBAC LIMA DUARTE</t>
  </si>
  <si>
    <t>07.030.719/0005-48</t>
  </si>
  <si>
    <t>ABBAC RIO NOVO</t>
  </si>
  <si>
    <t xml:space="preserve"> 07.030.719/0006-29</t>
  </si>
  <si>
    <t>ABBAC ANDRELANDIA</t>
  </si>
  <si>
    <t>ABBAC DESCOBERTO</t>
  </si>
  <si>
    <t>07.030.719/0007-00</t>
  </si>
  <si>
    <t>07.030.719/0008-90</t>
  </si>
  <si>
    <t>ABBAC CATAGUASES</t>
  </si>
  <si>
    <t>ABBAC GUIRICEMA</t>
  </si>
  <si>
    <t>07.030.719/0009-71</t>
  </si>
  <si>
    <t>07.030.719/0010-05</t>
  </si>
  <si>
    <t>ABBAC LEOPOLDINA</t>
  </si>
  <si>
    <t>ABBAC JF BENFICA</t>
  </si>
  <si>
    <t>07.030.719/0011-96</t>
  </si>
  <si>
    <t>ABBAC VISTA ALEGRE</t>
  </si>
  <si>
    <t>07.030.719/0012-77</t>
  </si>
  <si>
    <t>ABBAC SANTOS DUMOND</t>
  </si>
  <si>
    <t>07.030.719/0013-58</t>
  </si>
  <si>
    <t>SINDIBREF  RJ /JANEIRO</t>
  </si>
  <si>
    <t>07.030.719/0014-39</t>
  </si>
  <si>
    <t>09.563.577/0001-86</t>
  </si>
  <si>
    <t>sind: comércio da federação data base: Janeiro</t>
  </si>
  <si>
    <t>AUTO CLUB COMÉRCIO</t>
  </si>
  <si>
    <t>COMERCIO/TRANSPORTE OUTUBRO/ MAIO</t>
  </si>
  <si>
    <t>02.771.680/0001-72</t>
  </si>
  <si>
    <t>MULTIPLA SAUDE FILIAL</t>
  </si>
  <si>
    <t>02.771.680/0002-53</t>
  </si>
  <si>
    <t>CAIO TIRAPANI</t>
  </si>
  <si>
    <t>24.779.070/0001-58</t>
  </si>
  <si>
    <t>24.526.247/0001-04</t>
  </si>
  <si>
    <t>SINDICATO DA SAÚDE - MAIO</t>
  </si>
  <si>
    <t>MARIA AUGUSTA</t>
  </si>
  <si>
    <t>CEI 334900211203</t>
  </si>
  <si>
    <t>METALURGICO/SETEMBRO</t>
  </si>
  <si>
    <t>16.904.245/0001-83</t>
  </si>
  <si>
    <t>RODRICAR LANTERNAGEM</t>
  </si>
  <si>
    <t>DSM COMERCIO</t>
  </si>
  <si>
    <t>24.204.263/0001-80</t>
  </si>
  <si>
    <t>14.572.530/0007-04</t>
  </si>
  <si>
    <t>APEL GRAFICA</t>
  </si>
  <si>
    <t>261.859.626-91</t>
  </si>
  <si>
    <t>MARCO ANTONIO VIEIRA</t>
  </si>
  <si>
    <t>Doméstica</t>
  </si>
  <si>
    <t>598.999.137-15</t>
  </si>
  <si>
    <t>JOSE LISTER DE SOUZA</t>
  </si>
  <si>
    <t>Data base - MAIO</t>
  </si>
  <si>
    <t>25.092.357/0001-78</t>
  </si>
  <si>
    <t>NINA</t>
  </si>
  <si>
    <t>10.421.254/0001-37</t>
  </si>
  <si>
    <t>DELICK FILIAL</t>
  </si>
  <si>
    <t>09.400.376/0002-49</t>
  </si>
  <si>
    <t>25.287.366/0001-14</t>
  </si>
  <si>
    <t>VT BIJUTERIAS</t>
  </si>
  <si>
    <t>Data base: outubro</t>
  </si>
  <si>
    <t xml:space="preserve">14.510.243/0001-84 </t>
  </si>
  <si>
    <t>SERVICAL</t>
  </si>
  <si>
    <t>023.618.256-00</t>
  </si>
  <si>
    <t>JOSE SACRAMENTO FILHO</t>
  </si>
  <si>
    <t>729.382.776-87</t>
  </si>
  <si>
    <t>DAYSE FERREIRA SOUSA</t>
  </si>
  <si>
    <t>25.510.747/0001-10</t>
  </si>
  <si>
    <t>26.180.698/0001-68</t>
  </si>
  <si>
    <t>Data base: MAIO</t>
  </si>
  <si>
    <t>26.164.073/0001-02</t>
  </si>
  <si>
    <t>L. R. CARVALHO - ME</t>
  </si>
  <si>
    <t>AUTENTICA CONSULTORIA</t>
  </si>
  <si>
    <t>26.201.338/0001-03</t>
  </si>
  <si>
    <t>25.993.808/0001-48</t>
  </si>
  <si>
    <t>LUCIANA MACHADO FIEL</t>
  </si>
  <si>
    <t>DONA MARTHA MARIA</t>
  </si>
  <si>
    <t>26.632.015/0001-66</t>
  </si>
  <si>
    <t>BARES/ MAIO</t>
  </si>
  <si>
    <t>11.105.223/0002-10</t>
  </si>
  <si>
    <t>REGAPI FILIAL</t>
  </si>
  <si>
    <t>JF IMPORTADORA</t>
  </si>
  <si>
    <t>26.563.805/0001-37</t>
  </si>
  <si>
    <t>Data base Simprafarma outubro   Sinfarmig: março</t>
  </si>
  <si>
    <t>66.264.995/0001-06</t>
  </si>
  <si>
    <t>FARMARTE-FARMACIA</t>
  </si>
  <si>
    <t xml:space="preserve">FOCUS TECH </t>
  </si>
  <si>
    <t>06.277.683/0001-05</t>
  </si>
  <si>
    <t xml:space="preserve">(  )  Pro-labore      (   ) GPS                                                                                                                                   (   ) GFIP                                                                                                                                                                                                   </t>
  </si>
  <si>
    <t xml:space="preserve">Pro labore (   )
INSS (   )  Tem horista
GFIP (   )   </t>
  </si>
  <si>
    <t>DEISTER &amp; MOREIRA</t>
  </si>
  <si>
    <t>08.333.063/0001-71</t>
  </si>
  <si>
    <t>DEISTER &amp; MOREIRA FILIAL</t>
  </si>
  <si>
    <t>08.333.063/0002-52</t>
  </si>
  <si>
    <t>COMERCIO/ENFERMEIROS OUTUBRO/MARCO</t>
  </si>
  <si>
    <t>14.084.022/0001-91</t>
  </si>
  <si>
    <t>BIO LIFE PRODUTOS</t>
  </si>
  <si>
    <t>983.358.556-68</t>
  </si>
  <si>
    <t>LIDICE CAROLINA LENZ</t>
  </si>
  <si>
    <t xml:space="preserve">LOPES &amp; PURGATO </t>
  </si>
  <si>
    <t>21.028.474/0001-11</t>
  </si>
  <si>
    <t>27.325.719/0001-59</t>
  </si>
  <si>
    <t>CIMO ENGENHARIA</t>
  </si>
  <si>
    <t>sind:comércio data base: Outubro</t>
  </si>
  <si>
    <t>27.432.371/0001-07</t>
  </si>
  <si>
    <t xml:space="preserve">AUTO VILLE COMERCIO </t>
  </si>
  <si>
    <t>157.546.696-15</t>
  </si>
  <si>
    <t>JOSE GERALDO</t>
  </si>
  <si>
    <t>974.464.406-00</t>
  </si>
  <si>
    <t>DANIELLE DE MATTOS</t>
  </si>
  <si>
    <t>Data Base:  JANEIRO</t>
  </si>
  <si>
    <t>CEI 512114950289</t>
  </si>
  <si>
    <t>LUIZ FERNANDO CAMPOS</t>
  </si>
  <si>
    <t xml:space="preserve">SINDICATO DA SAÚDE - MAIO </t>
  </si>
  <si>
    <t>SUMAYA MATTAR</t>
  </si>
  <si>
    <t>CEI 113671581002</t>
  </si>
  <si>
    <t>CEI 512173643789</t>
  </si>
  <si>
    <t>PAULO EMILIO SITIO</t>
  </si>
  <si>
    <t>570.287.106-53</t>
  </si>
  <si>
    <t>MARGARETH APARECIDA</t>
  </si>
  <si>
    <t>CEI 700073259201</t>
  </si>
  <si>
    <t>Beatriz</t>
  </si>
  <si>
    <t>Ana Rita</t>
  </si>
  <si>
    <t>530.333.966-15</t>
  </si>
  <si>
    <t>MARCELO CALCAGNO</t>
  </si>
  <si>
    <t>Vilma Santos</t>
  </si>
  <si>
    <t>847.526.537-53</t>
  </si>
  <si>
    <t>36.424.606/0001-00</t>
  </si>
  <si>
    <t xml:space="preserve">H. F. MACHADO </t>
  </si>
  <si>
    <t>Sebastião Santos</t>
  </si>
  <si>
    <t>Maria Aparecida</t>
  </si>
  <si>
    <t>36.032.369/0001-23</t>
  </si>
  <si>
    <t xml:space="preserve">VITESSE IMPORTADORA </t>
  </si>
  <si>
    <t>063.927.156-14</t>
  </si>
  <si>
    <t>LUCIANA RODRIGUES</t>
  </si>
  <si>
    <t xml:space="preserve">SINDICATO DA SAÚDE - Data Base: MAIO </t>
  </si>
  <si>
    <t>10.795.073/0002-51</t>
  </si>
  <si>
    <t>CLINICA NUCLEO FL</t>
  </si>
  <si>
    <t>21.104.245/0003-09</t>
  </si>
  <si>
    <t>IRAN FL 0003</t>
  </si>
  <si>
    <t>IRAN FL 0002</t>
  </si>
  <si>
    <t>21.104.245/0002-10</t>
  </si>
  <si>
    <t>002.544.871-49</t>
  </si>
  <si>
    <t>JAIME LEIVAS PIUMA</t>
  </si>
  <si>
    <t>36.588.839/0001-30</t>
  </si>
  <si>
    <t>36.621.405/0001-94</t>
  </si>
  <si>
    <t>TRAVEL &amp; CO. VIAGENS E TURISMO LTDA</t>
  </si>
  <si>
    <t>36.530.292/0001-11</t>
  </si>
  <si>
    <t>Data base: OUTUBRO</t>
  </si>
  <si>
    <t>CONCLAVE EDITORA</t>
  </si>
  <si>
    <t>17.859.185/0001-97</t>
  </si>
  <si>
    <t xml:space="preserve">O2JF </t>
  </si>
  <si>
    <t>17.525.444/0001-43</t>
  </si>
  <si>
    <t>PROFESSOR MARCO ANTONIO</t>
  </si>
  <si>
    <t>35.883.482/0001-50</t>
  </si>
  <si>
    <t>062.871.106-94</t>
  </si>
  <si>
    <t>VANIA APARECIDA</t>
  </si>
  <si>
    <t>31.889.167/0001-89</t>
  </si>
  <si>
    <t>35.854.226/0001-34</t>
  </si>
  <si>
    <t>E. F. DE SOUSA LASER</t>
  </si>
  <si>
    <t>34.229.487/0001-09</t>
  </si>
  <si>
    <t>COURINVEST</t>
  </si>
  <si>
    <t>35.817.160/0001-02</t>
  </si>
  <si>
    <t>LUCIO COUTO GAIO</t>
  </si>
  <si>
    <t>00.587.504/0001-50</t>
  </si>
  <si>
    <t>ALEXLETI REPRESENTACOES</t>
  </si>
  <si>
    <t>27.248.304/0001-29</t>
  </si>
  <si>
    <t>BASE PILATES JF LTDA</t>
  </si>
  <si>
    <t>27.545.968/0001-50</t>
  </si>
  <si>
    <t>Data Base: MAIO</t>
  </si>
  <si>
    <t>27.829.502/0001-86</t>
  </si>
  <si>
    <t>008.480.496-32</t>
  </si>
  <si>
    <t>SUSTENTABILE</t>
  </si>
  <si>
    <t>27.823.575/0001-60</t>
  </si>
  <si>
    <t>COMERCIO /  MOTORISTA  OUTUBRO/ MAIO</t>
  </si>
  <si>
    <t>RAIDEL MATRIZ</t>
  </si>
  <si>
    <t>27.970.910/0001-53</t>
  </si>
  <si>
    <t>24.926.642/0001-84</t>
  </si>
  <si>
    <t>sind: sindados  Data base: Setembro</t>
  </si>
  <si>
    <t>17.218.689/0001-28</t>
  </si>
  <si>
    <t>SMART INOVE</t>
  </si>
  <si>
    <t>Data base: setembro</t>
  </si>
  <si>
    <t>23.112.066/0001-79</t>
  </si>
  <si>
    <t>WARI SISTEMAS</t>
  </si>
  <si>
    <t>K. J. L. BONINCONTRO</t>
  </si>
  <si>
    <t>28.175.561/0001-40</t>
  </si>
  <si>
    <t>ZR ASSESSORIA</t>
  </si>
  <si>
    <t>28.451.402/0001-21</t>
  </si>
  <si>
    <t>COMERCIO JF /OUTUBRO</t>
  </si>
  <si>
    <t>MSB (MATRIZ)</t>
  </si>
  <si>
    <t>28.441.423/0001-66</t>
  </si>
  <si>
    <t>FEDERAÇÃO DO COMERCIO - JANEIRO</t>
  </si>
  <si>
    <t>28.800.013/0001-64</t>
  </si>
  <si>
    <t xml:space="preserve">SILANE APARECIDA </t>
  </si>
  <si>
    <t>28.618.793/0001-26</t>
  </si>
  <si>
    <t>ARVI PAN</t>
  </si>
  <si>
    <t>27.611.716/0001-81</t>
  </si>
  <si>
    <t>64.268.568/0001-70</t>
  </si>
  <si>
    <t>23.997.446/0001-38</t>
  </si>
  <si>
    <t>TROPICAIANA</t>
  </si>
  <si>
    <t>05.353.177/0001-95</t>
  </si>
  <si>
    <t>ATTICA ARQUITETURA</t>
  </si>
  <si>
    <t>21.346.921/0001-80</t>
  </si>
  <si>
    <t>MORADA DA GARCA</t>
  </si>
  <si>
    <t>29.621.891/0001-85</t>
  </si>
  <si>
    <t>RENATO- MOR GARCA</t>
  </si>
  <si>
    <t>03.317.966/0001-45</t>
  </si>
  <si>
    <t xml:space="preserve">CONTRATA CORRETORA </t>
  </si>
  <si>
    <t xml:space="preserve"> Data Base: MAIO</t>
  </si>
  <si>
    <t>30.020.084/0001-96</t>
  </si>
  <si>
    <t>JF IMPLANTES</t>
  </si>
  <si>
    <t>SINTAPPI SESCON</t>
  </si>
  <si>
    <t>14.372.339/0001-23</t>
  </si>
  <si>
    <t xml:space="preserve">I GREEN SOLUCOES </t>
  </si>
  <si>
    <t>29.945.945/0001-68</t>
  </si>
  <si>
    <t>RATIFIX</t>
  </si>
  <si>
    <t>Data base: abril</t>
  </si>
  <si>
    <t>30.013.112/0001-48</t>
  </si>
  <si>
    <t>MV CONSTRUCOES</t>
  </si>
  <si>
    <t>30.045.665/0001-82</t>
  </si>
  <si>
    <t>21.526.470/0001-63</t>
  </si>
  <si>
    <t>Data base:  comercio  outubro  e maio motorista</t>
  </si>
  <si>
    <t>MADEIRAS XINGUARA MT</t>
  </si>
  <si>
    <t>LANZONI &amp; LAGUARDIA</t>
  </si>
  <si>
    <t>07.450.106/0001-36</t>
  </si>
  <si>
    <t>30.226.538/0001-80</t>
  </si>
  <si>
    <t>BDP REPRESENTAÇÕES</t>
  </si>
  <si>
    <t>330.493.196-15</t>
  </si>
  <si>
    <t xml:space="preserve">LUZIA GLORIA CORREA </t>
  </si>
  <si>
    <t>CEI 512430858609</t>
  </si>
  <si>
    <t>SAUDE JF Data Base: MAIO</t>
  </si>
  <si>
    <t>JEAN KHOURY JOSE</t>
  </si>
  <si>
    <t>474.712.476-49</t>
  </si>
  <si>
    <t>037.259.346-14</t>
  </si>
  <si>
    <t>IDERALDO JERRE</t>
  </si>
  <si>
    <t>30.390.839/0001-44</t>
  </si>
  <si>
    <t>32.679.249/0001-61</t>
  </si>
  <si>
    <t>ERIC SURERUS SARMENTO</t>
  </si>
  <si>
    <t>33.926.046/0001-95</t>
  </si>
  <si>
    <t>NAYLA CRISTINA SACEL</t>
  </si>
  <si>
    <t xml:space="preserve">CIANO GRIS COMERCIO </t>
  </si>
  <si>
    <t>35.689.955/0001-82</t>
  </si>
  <si>
    <t xml:space="preserve">IMMUNIZE CENTRO </t>
  </si>
  <si>
    <t>35.676.010/0001-26</t>
  </si>
  <si>
    <t xml:space="preserve">IMERSA AUDIOVISUAL </t>
  </si>
  <si>
    <t>27.319.815/0001-94</t>
  </si>
  <si>
    <t>RAV CENTRO AUTOMOTIVO</t>
  </si>
  <si>
    <t>35.607.139/0001-82</t>
  </si>
  <si>
    <t>35.547.825/0001-05</t>
  </si>
  <si>
    <t>ATIVA REPRESENTACAO</t>
  </si>
  <si>
    <t>35.509.657/0001-63</t>
  </si>
  <si>
    <t>DFD ENSINO E PROPAGANDA</t>
  </si>
  <si>
    <t>35.489.159/0001-04</t>
  </si>
  <si>
    <t>17.300.563/0001-06</t>
  </si>
  <si>
    <t>LANNA E CASTRO SERVICOS MEDICOS</t>
  </si>
  <si>
    <t>35.309.997/0001-40</t>
  </si>
  <si>
    <t>MENDES FERREIRA</t>
  </si>
  <si>
    <t>35.301.426/0001-60</t>
  </si>
  <si>
    <t>JORGE DA SILVA MORAES</t>
  </si>
  <si>
    <t>16.529.485/0001-45</t>
  </si>
  <si>
    <t>LOTEAMENTO OURO DE MINAS</t>
  </si>
  <si>
    <t>35.160.372/0001-60</t>
  </si>
  <si>
    <t xml:space="preserve">FIESTA COMERCIO </t>
  </si>
  <si>
    <t>35.135.899/0001-34</t>
  </si>
  <si>
    <t>32.556.992/0001-24</t>
  </si>
  <si>
    <t>MAYKON FERREIRA DE SOUZA</t>
  </si>
  <si>
    <t>VIDA EM MOVIMENTO</t>
  </si>
  <si>
    <t>35.001.546/0001-41</t>
  </si>
  <si>
    <t>ESPACO YPSOLON</t>
  </si>
  <si>
    <t>34.998.956/0001-46</t>
  </si>
  <si>
    <t>sind. Saúde / maio</t>
  </si>
  <si>
    <t>01.860.897/0001-96</t>
  </si>
  <si>
    <t>M. DE S. OLIVEIRA</t>
  </si>
  <si>
    <t>34.922.495/0001-28</t>
  </si>
  <si>
    <t>15.230.662/0001-25</t>
  </si>
  <si>
    <t>MATERIAL PLASTICO MG /  MARÇO</t>
  </si>
  <si>
    <t>SABIAS LOTEAMENTO</t>
  </si>
  <si>
    <t>08.546.902/0001-30</t>
  </si>
  <si>
    <t>BARES CABO FRIO  / FEVEREIRO</t>
  </si>
  <si>
    <t xml:space="preserve">21.554.522/0002-96 </t>
  </si>
  <si>
    <t>SINDIBREF / JANEIRO</t>
  </si>
  <si>
    <t>21.554.522/0001-05</t>
  </si>
  <si>
    <t>MINAS PRAIA</t>
  </si>
  <si>
    <t>METALURGICO JF / SETEMBRO</t>
  </si>
  <si>
    <t>05.411.150/0001-01</t>
  </si>
  <si>
    <t>CADMIEL</t>
  </si>
  <si>
    <t xml:space="preserve">MONTESANTO COMERCIO </t>
  </si>
  <si>
    <t>34.764.201/0001-87</t>
  </si>
  <si>
    <t>008.294.956-57</t>
  </si>
  <si>
    <t>JUSCELINO DE SOZA CARMO</t>
  </si>
  <si>
    <t>13.500.865/0001-69</t>
  </si>
  <si>
    <t xml:space="preserve">SMART NX TECNOLOGIA </t>
  </si>
  <si>
    <t>27.447.387/0001-85</t>
  </si>
  <si>
    <t>052.145.106-08</t>
  </si>
  <si>
    <t>MARCIA CRISTINA DE ALMEIDA SANTOS</t>
  </si>
  <si>
    <t>SINDEDIF   MAIO</t>
  </si>
  <si>
    <t>09.205.603/0001-02</t>
  </si>
  <si>
    <t>TRIFLAT</t>
  </si>
  <si>
    <t>28.826.155/0001-09</t>
  </si>
  <si>
    <t xml:space="preserve">MARCIA CRISTINA </t>
  </si>
  <si>
    <t>051.340.176-89</t>
  </si>
  <si>
    <t>RAFAEL MARQUES PIMONT</t>
  </si>
  <si>
    <t>SALÕES DE BELEZA/MARÇO</t>
  </si>
  <si>
    <t>24.334.638/0001-27</t>
  </si>
  <si>
    <t>PRISCILA FONSECA BRINATI</t>
  </si>
  <si>
    <t>DISPROMINAS</t>
  </si>
  <si>
    <t>34.530.654/0001-49</t>
  </si>
  <si>
    <t>30.388.629/0001-11</t>
  </si>
  <si>
    <t>30.391.521/0001-88</t>
  </si>
  <si>
    <t>TRIPLICE</t>
  </si>
  <si>
    <t>30.473.208/0001-99</t>
  </si>
  <si>
    <t>Data Base: JANEIRO</t>
  </si>
  <si>
    <t>30.500.164/0001-49</t>
  </si>
  <si>
    <t>ARTEM MARTINS CABRAL</t>
  </si>
  <si>
    <t>30.576.208/0001-14</t>
  </si>
  <si>
    <t xml:space="preserve">ANGELA MARIA </t>
  </si>
  <si>
    <t xml:space="preserve">AMCT CORRETORA </t>
  </si>
  <si>
    <t>03.950.221/0001-19</t>
  </si>
  <si>
    <t>METALURGICO SETEMBRO</t>
  </si>
  <si>
    <t>10.805.605/0001-03</t>
  </si>
  <si>
    <t>ASTATO EQUIPAMENTOS</t>
  </si>
  <si>
    <t>ASTATO REPRESENTACOES</t>
  </si>
  <si>
    <t>01.335.998/0001-48</t>
  </si>
  <si>
    <t xml:space="preserve">HM CENTRO </t>
  </si>
  <si>
    <t>30.471.495/0001-06</t>
  </si>
  <si>
    <t>sind: ind.de joalheria  data base:março</t>
  </si>
  <si>
    <t>18.142.015/0001-50</t>
  </si>
  <si>
    <t>INDIAS DO BRASIL MT</t>
  </si>
  <si>
    <t>INDIAS DO BRASIL FIL</t>
  </si>
  <si>
    <t>18.142.015/0002-30</t>
  </si>
  <si>
    <t>INTERIORES</t>
  </si>
  <si>
    <t>30.767.432/0001-93</t>
  </si>
  <si>
    <t>SALAO DE BELEZA Data Base: MARÇO</t>
  </si>
  <si>
    <t>30.791.687/0001-91</t>
  </si>
  <si>
    <t>AMANDA ALVES FIGUEIREDO</t>
  </si>
  <si>
    <t>BOM BRASIL</t>
  </si>
  <si>
    <t>30.796.514/0001-66</t>
  </si>
  <si>
    <t>SINDICATO DA PANIFICAÇÃO  Data base: MAIO</t>
  </si>
  <si>
    <t>31.067.650/0001.88</t>
  </si>
  <si>
    <t>MAISON GATEAU</t>
  </si>
  <si>
    <t>CAROLINE ZAGHETTO</t>
  </si>
  <si>
    <t>22.458.065/0001-18</t>
  </si>
  <si>
    <t>LOPES E RAMOS</t>
  </si>
  <si>
    <t>30.995.702/0001-13</t>
  </si>
  <si>
    <t>012.266.796-41</t>
  </si>
  <si>
    <t>ROBERTA FRANCO DIAS</t>
  </si>
  <si>
    <t>31.076.541/0001-27</t>
  </si>
  <si>
    <t>JESSIQUELLI ESTER</t>
  </si>
  <si>
    <t>29.395.030/0001-38</t>
  </si>
  <si>
    <t>CASA DAS CONEXOES</t>
  </si>
  <si>
    <t>21.605.068/0001-74</t>
  </si>
  <si>
    <t>sind: saude data base: maio</t>
  </si>
  <si>
    <t>09.148.788/0001-52</t>
  </si>
  <si>
    <t>SIND: SAÚDE  DATABASE: MAIO</t>
  </si>
  <si>
    <t>15.501.161/0001-36</t>
  </si>
  <si>
    <t xml:space="preserve">10.285.593/0001-33 </t>
  </si>
  <si>
    <t>SANTA MARIA</t>
  </si>
  <si>
    <t>31.332.361/0001-69</t>
  </si>
  <si>
    <t>FILIPE OLIVEIRA SOCIEDADE INDIVIDUAL DE ADVOCACIA</t>
  </si>
  <si>
    <t xml:space="preserve"> COMERCIO JF  Data Base: OUTUBRO</t>
  </si>
  <si>
    <t>21.502.184/0001-68</t>
  </si>
  <si>
    <t>GMA</t>
  </si>
  <si>
    <t>11.787.765/0001-78</t>
  </si>
  <si>
    <t xml:space="preserve"> sind: comércio data base: Outubro</t>
  </si>
  <si>
    <t>29.936.178/0001-20</t>
  </si>
  <si>
    <t>MARCIA E SOARES</t>
  </si>
  <si>
    <t>SIND: SALÕES DE BELEZA DATA BASE: MARÇO</t>
  </si>
  <si>
    <t>29.930.464/0001-89</t>
  </si>
  <si>
    <t>BELEZA FEMININA</t>
  </si>
  <si>
    <t>VENKON CONSULTORIA</t>
  </si>
  <si>
    <t>25.348.146/0001-53</t>
  </si>
  <si>
    <t>SICOMERCIO TRES RIOS / NOVEMBRO</t>
  </si>
  <si>
    <t>28.441.423/0002/47</t>
  </si>
  <si>
    <t>MSB (FILIAL)</t>
  </si>
  <si>
    <t>31.278.429/0001-79</t>
  </si>
  <si>
    <t>MONIQUE SIQUEIRA</t>
  </si>
  <si>
    <t>013.799.226-23</t>
  </si>
  <si>
    <t>MAR DE ESPANHA MAQUINAS</t>
  </si>
  <si>
    <t>12.496.750/0001-85</t>
  </si>
  <si>
    <t>07.801.908/0001-43</t>
  </si>
  <si>
    <t>CH. VIDON</t>
  </si>
  <si>
    <t>D.P.A MARIANO</t>
  </si>
  <si>
    <t>31.843.893/0001-60</t>
  </si>
  <si>
    <t>sind: federação do comércio data base:Janeiro</t>
  </si>
  <si>
    <t>10.931.946/0001-25</t>
  </si>
  <si>
    <t>QUITANDINHA</t>
  </si>
  <si>
    <t>19.269.830/0001-47</t>
  </si>
  <si>
    <t>136.755.916-20</t>
  </si>
  <si>
    <t>ONEIDA - DOMESTICA</t>
  </si>
  <si>
    <t xml:space="preserve">Data Base: Sin. Fisioterapeutas </t>
  </si>
  <si>
    <t>29.237.469/0001-20</t>
  </si>
  <si>
    <t>ESPACO COMVIVER</t>
  </si>
  <si>
    <t>027.807.356-51</t>
  </si>
  <si>
    <t>Recibo mPgto (   )  (  ) Boleto vt
INSS (   )
GFIP (   )           Tem comissão</t>
  </si>
  <si>
    <t>Pro labore (   )
INSS (   )  Perguntar valor do prolabore 
GFIP (   )     IR (   )</t>
  </si>
  <si>
    <t>I.R. COMERCIO DIGITAL</t>
  </si>
  <si>
    <t>32.071.734/0001-58</t>
  </si>
  <si>
    <t>VIRTUS REPRESENTACOES</t>
  </si>
  <si>
    <t>32.171.138/0001-40</t>
  </si>
  <si>
    <t>210.567.906-44</t>
  </si>
  <si>
    <t>JAIR CROCE FILHO</t>
  </si>
  <si>
    <t>FRANCIS EUZEBIO PEREIRA</t>
  </si>
  <si>
    <t>32.203.755/0001-80</t>
  </si>
  <si>
    <t>469.099.586-91</t>
  </si>
  <si>
    <t xml:space="preserve">JUSSARA FATIMA </t>
  </si>
  <si>
    <t>002.679.136-64</t>
  </si>
  <si>
    <t>MARIA DE LOURDES PEREIRA DE LIMA</t>
  </si>
  <si>
    <t>GOMES E GOMES ENGENHARIA</t>
  </si>
  <si>
    <t>34.458.792/0001-64</t>
  </si>
  <si>
    <t xml:space="preserve"> Data Base: Maio </t>
  </si>
  <si>
    <t xml:space="preserve">34.370.179/0001-90 </t>
  </si>
  <si>
    <t>ABM LAVANDERIAS</t>
  </si>
  <si>
    <t>M F V REPRESENTACOES</t>
  </si>
  <si>
    <t>66.198.342/0001-76</t>
  </si>
  <si>
    <t>ALEXANDRE ABRAHAO CURY E OUTROS</t>
  </si>
  <si>
    <t>CEI 900011616965</t>
  </si>
  <si>
    <t xml:space="preserve">AUTO POSTO BENJAMIN </t>
  </si>
  <si>
    <t>31.098.579/0001-09</t>
  </si>
  <si>
    <t>LUCRO REAL</t>
  </si>
  <si>
    <t>21.177.696/0001-04</t>
  </si>
  <si>
    <t>BRISAMAR REPRESENTACOES</t>
  </si>
  <si>
    <t>Data Base: Outubro</t>
  </si>
  <si>
    <t>34.184.405/0001-49</t>
  </si>
  <si>
    <t>AREA HOME E DESIGN</t>
  </si>
  <si>
    <t>CRUX ENGENHARIA</t>
  </si>
  <si>
    <t>24.362.753/0001-05</t>
  </si>
  <si>
    <t>Data Base: Maio</t>
  </si>
  <si>
    <t>08.955.906/0001-71</t>
  </si>
  <si>
    <t>L&amp;A</t>
  </si>
  <si>
    <t>SIND: COMÉRCIO DATA BASE: OUTUBRO</t>
  </si>
  <si>
    <t>11.479.949/0001-32</t>
  </si>
  <si>
    <t>CASINHA 649</t>
  </si>
  <si>
    <t xml:space="preserve">INOVA TEC </t>
  </si>
  <si>
    <t>34.053.898/0001-88</t>
  </si>
  <si>
    <t>Data Base: Janeiro</t>
  </si>
  <si>
    <t>18.092.045/0001-07</t>
  </si>
  <si>
    <t xml:space="preserve">WALAS MICHEL </t>
  </si>
  <si>
    <t xml:space="preserve"> 28.145.155/0001-35</t>
  </si>
  <si>
    <t>JOAO VICTOR COSTA</t>
  </si>
  <si>
    <t>SAUDE DE RJ  JANEIRO</t>
  </si>
  <si>
    <t>CEI  170611138209</t>
  </si>
  <si>
    <t>JULIO CESAR DE SOUZA</t>
  </si>
  <si>
    <t>33.902.467/0001-86</t>
  </si>
  <si>
    <t>DATA BASE: OUTUBRO  SIND: COMÉRCIO</t>
  </si>
  <si>
    <t>31.828.749/0001-55</t>
  </si>
  <si>
    <t xml:space="preserve">PEDBIKE </t>
  </si>
  <si>
    <t>CEI 800033667480</t>
  </si>
  <si>
    <t>BENICIO KLEIN</t>
  </si>
  <si>
    <t>18.954.310/0001-00</t>
  </si>
  <si>
    <t>STRATVA</t>
  </si>
  <si>
    <t>COMERCIO JF OUTUBRO</t>
  </si>
  <si>
    <t>28.441.423/0003-28</t>
  </si>
  <si>
    <t>MSB COMERCIO FL 02</t>
  </si>
  <si>
    <t xml:space="preserve">AERO GASTRO MUSIC BAR </t>
  </si>
  <si>
    <t>33.652.061/0001-92</t>
  </si>
  <si>
    <t xml:space="preserve">ANA MARIA GOES CASSARA </t>
  </si>
  <si>
    <t>33.292.838/0001-55</t>
  </si>
  <si>
    <t>656.811.266-68</t>
  </si>
  <si>
    <t>SOLANGE GARCIA BASTOS RESENDE</t>
  </si>
  <si>
    <t>THAIS PIRES DE SOUZA</t>
  </si>
  <si>
    <t>27.283.042/0001-33</t>
  </si>
  <si>
    <t>SAUDE /MOTORISTA MAIO</t>
  </si>
  <si>
    <t>07.776.232/0001-85</t>
  </si>
  <si>
    <t xml:space="preserve">BOA VISTA PROTESE </t>
  </si>
  <si>
    <t>MADEIRAS XINGUARA FL</t>
  </si>
  <si>
    <t>21.526.470/0003-25</t>
  </si>
  <si>
    <t>IMPULSIONA</t>
  </si>
  <si>
    <t>33.260.279/0001-00</t>
  </si>
  <si>
    <t>24.800.349/0001-76</t>
  </si>
  <si>
    <t>DHENIELL ALEXANDER</t>
  </si>
  <si>
    <t>086.659.737-96</t>
  </si>
  <si>
    <t>CRISTIANE DE MEDEIROS NOGUEIRA</t>
  </si>
  <si>
    <t>18.325.593/0001-21</t>
  </si>
  <si>
    <t>MARIANA NORONHA</t>
  </si>
  <si>
    <t>Data Base:  Maio</t>
  </si>
  <si>
    <t>CEI  800016361505</t>
  </si>
  <si>
    <t>NATALIA FERNANDES</t>
  </si>
  <si>
    <t>TEXAS FRANQUEADORA</t>
  </si>
  <si>
    <t>33.093.580/0001-68</t>
  </si>
  <si>
    <t>926.847.696-72</t>
  </si>
  <si>
    <t>QA REPRESENTACAO</t>
  </si>
  <si>
    <t>32.969.786/0001-46</t>
  </si>
  <si>
    <t>322.085.457-53</t>
  </si>
  <si>
    <t>MARIA HELENA FALCAO VASCONCELLOS</t>
  </si>
  <si>
    <t>não vai mais fazer</t>
  </si>
  <si>
    <t>30.090.425/0001-08</t>
  </si>
  <si>
    <t>ISABELLA OG</t>
  </si>
  <si>
    <t xml:space="preserve">15.380.938/0001-51 </t>
  </si>
  <si>
    <t>COMERCIO Data base: OUTUBRO</t>
  </si>
  <si>
    <t xml:space="preserve">AUTO CERTO </t>
  </si>
  <si>
    <t>01.384.738/0001-62</t>
  </si>
  <si>
    <t>ARVORE ASSESSORIA DE COMUNICACAO LTDA</t>
  </si>
  <si>
    <t>24.489.302/0002-14</t>
  </si>
  <si>
    <t>24.489.302/0001-33</t>
  </si>
  <si>
    <t>MYCASE</t>
  </si>
  <si>
    <t xml:space="preserve"> Data base: Janeiro  </t>
  </si>
  <si>
    <t>29.237.148/0001-26</t>
  </si>
  <si>
    <t xml:space="preserve">QUARTZO STUDIO </t>
  </si>
  <si>
    <t>CEI 512443396769</t>
  </si>
  <si>
    <t xml:space="preserve">Data base: abril  </t>
  </si>
  <si>
    <t>JOAO VIEIRA DE QUEIROZ NETO</t>
  </si>
  <si>
    <t>060.911.686-06</t>
  </si>
  <si>
    <t>NATALIA MELO</t>
  </si>
  <si>
    <t>076.591.067-59</t>
  </si>
  <si>
    <t xml:space="preserve">ALEXSANDRA CARDOSO </t>
  </si>
  <si>
    <t>SOUZA OLIVEIRA SOUZA</t>
  </si>
  <si>
    <t>32.681.364/0001-70</t>
  </si>
  <si>
    <t>22.169.863/0001-20</t>
  </si>
  <si>
    <t>21.179.296/0001-20</t>
  </si>
  <si>
    <t>ROTARY</t>
  </si>
  <si>
    <t>IMPRIMA</t>
  </si>
  <si>
    <t>19.969.388/0001-61</t>
  </si>
  <si>
    <t>DATA BASE: JANEIRO</t>
  </si>
  <si>
    <t>05.941.175/0001-17</t>
  </si>
  <si>
    <t xml:space="preserve">RICO COPIAS </t>
  </si>
  <si>
    <t>29.506.226/0001-40</t>
  </si>
  <si>
    <t xml:space="preserve">CASA DE RACAO </t>
  </si>
  <si>
    <t>SABOR MINEIRO</t>
  </si>
  <si>
    <t>22.543.551/0001-34</t>
  </si>
  <si>
    <t>098.303.597-00</t>
  </si>
  <si>
    <t>JORGE MANUEL</t>
  </si>
  <si>
    <t>28.501.761/0001-46</t>
  </si>
  <si>
    <t xml:space="preserve">LUCAS GOMES DE OLIVEIRA </t>
  </si>
  <si>
    <t>ALO CHINA TELE ENTREGA DE COMIDA CHINESA</t>
  </si>
  <si>
    <t>32.351.045/0001-05</t>
  </si>
  <si>
    <t>DATA BASE: OUT</t>
  </si>
  <si>
    <t>18.764.067/0001-68</t>
  </si>
  <si>
    <t>RPM DISTRIBUICAO</t>
  </si>
  <si>
    <t>008.997.046-20</t>
  </si>
  <si>
    <t>HUMBERTO ZAGUETTO</t>
  </si>
  <si>
    <t>002.617.016-73</t>
  </si>
  <si>
    <t>025.803.546-38</t>
  </si>
  <si>
    <t>FUNC. DE LICENÇA MATERNIDADE</t>
  </si>
  <si>
    <t>ERIKA LAWALL LOPES RAMOS</t>
  </si>
  <si>
    <r>
      <t xml:space="preserve">Pro labore (   )  Enviar sefip junto c/ recibo(  )  
INSS (   )   Parc. Ecac (   )   MANDA MOVIMENTO
GFIP (   )                </t>
    </r>
    <r>
      <rPr>
        <sz val="9"/>
        <color rgb="FFFF0000"/>
        <rFont val="Arial"/>
        <family val="2"/>
      </rPr>
      <t xml:space="preserve">  Não cobrar rescisões</t>
    </r>
  </si>
  <si>
    <t>PARCELAMENTOS FGTS EM 07/2020(COVID19)</t>
  </si>
  <si>
    <t>SIM</t>
  </si>
  <si>
    <t xml:space="preserve">SIM </t>
  </si>
  <si>
    <r>
      <t xml:space="preserve">Folha e Pro Labore (   ) (  ) IRF </t>
    </r>
    <r>
      <rPr>
        <sz val="9"/>
        <color rgb="FF7030A0"/>
        <rFont val="Arial"/>
        <family val="2"/>
      </rPr>
      <t>( ) PARCELAMENTO FGTS</t>
    </r>
    <r>
      <rPr>
        <sz val="9"/>
        <rFont val="Arial"/>
        <family val="2"/>
      </rPr>
      <t xml:space="preserve">
INSS (   )  FGTS e GFIP (   )
 Tem Bienio ( ) Passou para sindicato da Federacao do comercio ( </t>
    </r>
    <r>
      <rPr>
        <sz val="9"/>
        <color rgb="FFFF0000"/>
        <rFont val="Arial"/>
        <family val="2"/>
      </rPr>
      <t>FAZER REAJUSTE SALARIAL NA COMP 02/2019 CONFORME O SALARIO MINIMO</t>
    </r>
  </si>
  <si>
    <t xml:space="preserve">Folha e Pro labore (   )
INSS (    )       PARCELAMENTO FGTS (    )
FGTS e GFIP (   )
</t>
  </si>
  <si>
    <t>NÃO</t>
  </si>
  <si>
    <t xml:space="preserve">Automatico </t>
  </si>
  <si>
    <t xml:space="preserve">NÃO </t>
  </si>
  <si>
    <r>
      <t xml:space="preserve">Folha (   )      </t>
    </r>
    <r>
      <rPr>
        <b/>
        <sz val="9"/>
        <rFont val="Arial"/>
        <family val="2"/>
      </rPr>
      <t xml:space="preserve">  </t>
    </r>
    <r>
      <rPr>
        <sz val="9"/>
        <rFont val="Arial"/>
        <family val="2"/>
      </rPr>
      <t xml:space="preserve">
INSS (   )
FGTS e GFIP (   )
</t>
    </r>
    <r>
      <rPr>
        <b/>
        <sz val="9"/>
        <color rgb="FFFF0000"/>
        <rFont val="Arial"/>
        <family val="2"/>
      </rPr>
      <t>Recibo complementar de limpeza para funcionária.</t>
    </r>
  </si>
  <si>
    <t xml:space="preserve">Pro labore (   )
INSS (   )  
GFIP (   )          VT (     )                    </t>
  </si>
  <si>
    <r>
      <t>Folha e Pro labore (   )</t>
    </r>
    <r>
      <rPr>
        <b/>
        <sz val="9"/>
        <rFont val="Arial"/>
        <family val="2"/>
      </rPr>
      <t xml:space="preserve">  </t>
    </r>
    <r>
      <rPr>
        <sz val="9"/>
        <rFont val="Arial"/>
        <family val="2"/>
      </rPr>
      <t xml:space="preserve">
INSS (   )
FGTS e GFIP (   )
IRRF (  )               </t>
    </r>
    <r>
      <rPr>
        <sz val="9"/>
        <color rgb="FFFF0000"/>
        <rFont val="Arial"/>
        <family val="2"/>
      </rPr>
      <t xml:space="preserve">                      </t>
    </r>
    <r>
      <rPr>
        <sz val="9"/>
        <rFont val="Arial"/>
        <family val="2"/>
      </rPr>
      <t xml:space="preserve">                                                                                           </t>
    </r>
  </si>
  <si>
    <r>
      <t>Folha e Pro labore (   )
INSS (   )</t>
    </r>
    <r>
      <rPr>
        <sz val="9"/>
        <color rgb="FFFF0000"/>
        <rFont val="Arial"/>
        <family val="2"/>
      </rPr>
      <t xml:space="preserve">    </t>
    </r>
    <r>
      <rPr>
        <sz val="9"/>
        <rFont val="Arial"/>
        <family val="2"/>
      </rPr>
      <t xml:space="preserve">
FGTS e GFIP (   ) 
</t>
    </r>
  </si>
  <si>
    <r>
      <t xml:space="preserve">Folha e Pro labore (   )
INSS (   )                </t>
    </r>
    <r>
      <rPr>
        <b/>
        <sz val="9"/>
        <rFont val="Arial"/>
        <family val="2"/>
      </rPr>
      <t xml:space="preserve">  </t>
    </r>
    <r>
      <rPr>
        <sz val="9"/>
        <rFont val="Arial"/>
        <family val="2"/>
      </rPr>
      <t xml:space="preserve">
FGTS e GFIP (   ) </t>
    </r>
    <r>
      <rPr>
        <b/>
        <sz val="9"/>
        <color rgb="FFFF0000"/>
        <rFont val="Arial"/>
        <family val="2"/>
      </rPr>
      <t>Plano de sáude altera vl em maio</t>
    </r>
    <r>
      <rPr>
        <sz val="9"/>
        <rFont val="Arial"/>
        <family val="2"/>
      </rPr>
      <t xml:space="preserve">
Tem multiplos vínculos;  tem assiduidade 20%.  VT FEITO NA EMPRESA DESCONTA 6% EM FOLHA</t>
    </r>
  </si>
  <si>
    <t xml:space="preserve">Folha e Pro labore (   )    
INSS (   ) 
FGTS e GFIP (   )                                                                                                                                         </t>
  </si>
  <si>
    <t xml:space="preserve">FGTS e GFIP (   )  IR (  )  </t>
  </si>
  <si>
    <t xml:space="preserve">Folha (  )
INSS (   )   
FGTS e GFIP (   )                                                                                                                                </t>
  </si>
  <si>
    <t xml:space="preserve">Folha(   )   Adiantamento 20% (  )
INSS (   ) Folha de Ponto (    ) 
GFIP (   )        VT  (    )             </t>
  </si>
  <si>
    <r>
      <t xml:space="preserve">FOLHA(  )  (   ) inss  (  ) gfip </t>
    </r>
    <r>
      <rPr>
        <sz val="9"/>
        <color rgb="FFFF0000"/>
        <rFont val="Arial"/>
        <family val="2"/>
      </rPr>
      <t xml:space="preserve">sempre descontar aluguel do func. Valor de $10,00  </t>
    </r>
    <r>
      <rPr>
        <b/>
        <sz val="9"/>
        <color rgb="FFFF0000"/>
        <rFont val="Arial"/>
        <family val="2"/>
      </rPr>
      <t xml:space="preserve"> </t>
    </r>
  </si>
  <si>
    <r>
      <t xml:space="preserve">GFIP (   )  MEI                                     INSS (   )      FGTS (  )  </t>
    </r>
    <r>
      <rPr>
        <b/>
        <sz val="9"/>
        <rFont val="Arial"/>
        <family val="2"/>
      </rPr>
      <t xml:space="preserve"> </t>
    </r>
  </si>
  <si>
    <r>
      <t xml:space="preserve">Recibo Pgto (   )  
INSS (   )  
GFIP (   )     </t>
    </r>
    <r>
      <rPr>
        <b/>
        <sz val="9"/>
        <rFont val="Arial"/>
        <family val="2"/>
      </rPr>
      <t>PAGA SEMPRE NO ULTIMO DIA DO MES</t>
    </r>
  </si>
  <si>
    <r>
      <t xml:space="preserve">Folha e Pro labore (   )                                
INSS (   ) </t>
    </r>
    <r>
      <rPr>
        <b/>
        <sz val="9"/>
        <rFont val="Arial"/>
        <family val="2"/>
      </rPr>
      <t xml:space="preserve"> </t>
    </r>
    <r>
      <rPr>
        <sz val="9"/>
        <rFont val="Arial"/>
        <family val="2"/>
      </rPr>
      <t xml:space="preserve">
GFIP (  ) (   ) BOLETO VT
</t>
    </r>
  </si>
  <si>
    <t xml:space="preserve">Folha e Pro labore (   )
INSS (   )   
FGTS e GFIP (   )
</t>
  </si>
  <si>
    <t xml:space="preserve">Ele passa horas faltas no mês que tiver. 
VALE TRANSPORTE LOGIN : 31889167000189 SENHA : BIOVET4141 (segunda a sexta)
Giseli (Bilhete Único)  Angellyca (Comum) 
Apenas tosador de animais domesticos tem insalubridade. </t>
  </si>
  <si>
    <r>
      <t xml:space="preserve">Pro labore (   ) 
INSS (   )       Vale Transporte(   )
GFIP (   )        IR (  )        </t>
    </r>
    <r>
      <rPr>
        <sz val="9"/>
        <color rgb="FFFF0000"/>
        <rFont val="Arial"/>
        <family val="2"/>
      </rPr>
      <t xml:space="preserve">            </t>
    </r>
  </si>
  <si>
    <t>em 03.2020 foi por email</t>
  </si>
  <si>
    <t>(   ) PRO LABORE      (   ) INSS       IR  (    )      (   )GFIP    passa fechamento,horas extras</t>
  </si>
  <si>
    <t>entregar Antonio</t>
  </si>
  <si>
    <t>LUCIA DE ARAUJO PIUMA</t>
  </si>
  <si>
    <t xml:space="preserve">Recibo e-social (   )                                                Guia e-social (   )         desconta 6% mas não fazemos o vale  (   ) férias antecipadas em abril </t>
  </si>
  <si>
    <t xml:space="preserve">* MENSALMENTE PASSA POR EMAIL O VALOR DO PREMIO (Guilherme)
* FAZER RECIBO DA ASTRANSP - CNPJ 17570395000160 - SENHA 12345 (Não tem funcionário com vale transporte) 
* PLANO DE SAUDE DOS SOCIOS lançar co-participação para a funcionária (MARIA) a empresa paga a mensalidade dela. 
* Plano de saude unimed é o CPF do wagner 81097263053.
* Lançar plano para sócios e dependentes separados.
* Passa os valor da comissão juntamente com o DSR fazer a separação na planilha em P:\documentos\OneDrive - Novus Contabilidade\Doc Compartilhado\Pessoal\Relatórios Sefip\Prime Tech\2019 jogando o valor até o total dar proximo do lançamento da empresa.
</t>
  </si>
  <si>
    <t>ARTEM MARTINS CABRAL (A M CABRAL)</t>
  </si>
  <si>
    <t xml:space="preserve">Folha e pro labore (   ) Mandar separadamente os recibos 
INSS (   )      (    ) GUIA IR    GFIP (   ) 
MENSALMENTE PASSA  EMAIL (Guilherme)                                                                                                              </t>
  </si>
  <si>
    <t>Apenas o Isaias tem insalubridade e o Fernando tem comissão.</t>
  </si>
  <si>
    <t>Pro labore (   )  
INSS (   )
GFIP (   )   Tem comissão (fernando)</t>
  </si>
  <si>
    <t>Bares e Hoteis - Data Base: Maio</t>
  </si>
  <si>
    <t xml:space="preserve">Folha e Pro labore (   )  (   )  
INSS (   )
FGTS e GFIP (   )
</t>
  </si>
  <si>
    <t xml:space="preserve">Folha (   ) 
FGTS e GFIP (   )
Salário trabalha menos horas;
Não fazemos VT </t>
  </si>
  <si>
    <t>Folha  (   )
INSS (   )
FGTS e GFIP (   )</t>
  </si>
  <si>
    <r>
      <t xml:space="preserve">Folha e Pro labore (   ) INSS (     )    IRRF (     )
FGTS e GFIP (   )      ) 
</t>
    </r>
    <r>
      <rPr>
        <sz val="9"/>
        <color rgb="FFFF0000"/>
        <rFont val="Arial"/>
        <family val="2"/>
      </rPr>
      <t>Tem Plano de Saúde (desconta apenas dependente); socia Cristiane multipos vinculos; e funcionario tem produtividade.</t>
    </r>
  </si>
  <si>
    <t xml:space="preserve">Folha e Pro labore (   ) 
INSS (   ) 
FGTS e GFIP (   )                                                                                                Tem vale Transporte  2vt de seg a sex                                                           </t>
  </si>
  <si>
    <t xml:space="preserve">Pro labore (   )  IRF (  )
INSS (   )  
GFIP (   )    </t>
  </si>
  <si>
    <t>Pro labore (   )  
INSS (   )   
GFIP (   ) comissão(   )</t>
  </si>
  <si>
    <r>
      <t xml:space="preserve">Pro labore (   )
INSS (   )
GFIP (   )
</t>
    </r>
    <r>
      <rPr>
        <b/>
        <sz val="9"/>
        <color rgb="FFFF0000"/>
        <rFont val="Arial"/>
        <family val="2"/>
      </rPr>
      <t xml:space="preserve">Verificar se teve movimento pra fazer o Pro labore. </t>
    </r>
  </si>
  <si>
    <r>
      <t xml:space="preserve">Folha e Pro labore (   )
INSS (   )        IR (   )
FGTS e GFIP (   )
Recibo Astransp (   ) </t>
    </r>
    <r>
      <rPr>
        <sz val="9"/>
        <color rgb="FFFF0000"/>
        <rFont val="Arial"/>
        <family val="2"/>
      </rPr>
      <t xml:space="preserve"> 2 vales de segunda a sábado - enviar até dia 25</t>
    </r>
    <r>
      <rPr>
        <sz val="9"/>
        <rFont val="Arial"/>
        <family val="2"/>
      </rPr>
      <t xml:space="preserve"> junto com o das Filiais.
Tem comissão  - Enviar junto com as Filiais</t>
    </r>
  </si>
  <si>
    <r>
      <t>Folha e Pro labore (   ) 
INSS (   )
FGTS e GFIP (   )
Começou a ter plano odontológico no mês 06/2019 com valor fixo R$ 49,90 por func e sócio.(</t>
    </r>
    <r>
      <rPr>
        <sz val="9"/>
        <color rgb="FFFF0000"/>
        <rFont val="Arial"/>
        <family val="2"/>
      </rPr>
      <t>Gerar férias para Thiago em MARCO 2020)</t>
    </r>
  </si>
  <si>
    <r>
      <t xml:space="preserve">Pro labore (   ) PASSAR PRA MEI EM 01/2019
INSS (   )  </t>
    </r>
    <r>
      <rPr>
        <sz val="9"/>
        <color rgb="FFFF0000"/>
        <rFont val="Arial"/>
        <family val="2"/>
      </rPr>
      <t>saiu em 01/2019</t>
    </r>
    <r>
      <rPr>
        <sz val="9"/>
        <rFont val="Arial"/>
        <family val="2"/>
      </rPr>
      <t xml:space="preserve">
GFIP (   )  Tem plano de saúde.</t>
    </r>
  </si>
  <si>
    <r>
      <t>Folha e Pro labore (   )</t>
    </r>
    <r>
      <rPr>
        <b/>
        <sz val="9"/>
        <color rgb="FFFF0000"/>
        <rFont val="Arial"/>
        <family val="2"/>
      </rPr>
      <t xml:space="preserve">     </t>
    </r>
    <r>
      <rPr>
        <b/>
        <sz val="9"/>
        <rFont val="Arial"/>
        <family val="2"/>
      </rPr>
      <t xml:space="preserve">  (   ) IRRF</t>
    </r>
    <r>
      <rPr>
        <sz val="9"/>
        <rFont val="Arial"/>
        <family val="2"/>
      </rPr>
      <t xml:space="preserve">
INSS (   )
FGTS e GFIP (   )
Fazer declaração de material de segurança por funcionário.</t>
    </r>
  </si>
  <si>
    <r>
      <t xml:space="preserve">Pro labore (   )  
INSS (   ) 
 GFIP (   )
Tem Plano de Saúde lançar codigo 208
</t>
    </r>
    <r>
      <rPr>
        <b/>
        <sz val="9"/>
        <color rgb="FFFF0000"/>
        <rFont val="Arial"/>
        <family val="2"/>
      </rPr>
      <t>Passa mensalmente o valor da distribuição de lucros e plano de saúde do Nikola por e-mail</t>
    </r>
  </si>
  <si>
    <r>
      <t>Pro labore (   )
INSS (   )
GFIP (   )</t>
    </r>
    <r>
      <rPr>
        <sz val="9"/>
        <color rgb="FFFF0000"/>
        <rFont val="Arial"/>
        <family val="2"/>
      </rPr>
      <t xml:space="preserve">  PASSAR S/M 01.2020</t>
    </r>
  </si>
  <si>
    <r>
      <t>Pro labore (   ) Não enviar
INSS (   )</t>
    </r>
    <r>
      <rPr>
        <sz val="9"/>
        <color rgb="FFFF0000"/>
        <rFont val="Arial"/>
        <family val="2"/>
      </rPr>
      <t xml:space="preserve"> Enviar somente o INSS</t>
    </r>
    <r>
      <rPr>
        <sz val="9"/>
        <rFont val="Arial"/>
        <family val="2"/>
      </rPr>
      <t xml:space="preserve">
GFIP (   ) GFIP S/ mov 07.2017</t>
    </r>
  </si>
  <si>
    <r>
      <rPr>
        <sz val="9"/>
        <color rgb="FFFF0000"/>
        <rFont val="Arial"/>
        <family val="2"/>
      </rPr>
      <t>Adiantamento (   ) até dia 15 SAI 02/2019</t>
    </r>
    <r>
      <rPr>
        <sz val="9"/>
        <rFont val="Arial"/>
        <family val="2"/>
      </rPr>
      <t xml:space="preserve">
Folha e Pro labore (   )
INSS (   )
FGTS e GFIP (   )
 (   ) IRF
Tem plano de Saúde; hr extra e faltas; e desoneração
Declaração de segurança por funcionário e por obra - Enviar junto c/ ZRS</t>
    </r>
  </si>
  <si>
    <r>
      <rPr>
        <sz val="9"/>
        <color rgb="FFFF0000"/>
        <rFont val="Arial"/>
        <family val="2"/>
      </rPr>
      <t>Adiantamento (   ) até dia 15</t>
    </r>
    <r>
      <rPr>
        <sz val="9"/>
        <rFont val="Arial"/>
        <family val="2"/>
      </rPr>
      <t xml:space="preserve">
Folha e Pro labore (   )
INSS (   ) SAIU 02/2019
FGTS e GFIP (   )
Tem plano de Saúde; hr extra e faltas;  Declaração de segurança por funcionário e por obra. Enviar junto com a ZRC</t>
    </r>
  </si>
  <si>
    <r>
      <t xml:space="preserve">Paralisada.Comunicado a receita conf. Recado em 17/05/2018 </t>
    </r>
    <r>
      <rPr>
        <sz val="9"/>
        <color rgb="FFFF0000"/>
        <rFont val="Arial"/>
        <family val="2"/>
      </rPr>
      <t>saiu 01/2019</t>
    </r>
  </si>
  <si>
    <r>
      <t xml:space="preserve">Pro labore (   )
INSS (   )
GFIP (   ) </t>
    </r>
    <r>
      <rPr>
        <sz val="9"/>
        <color rgb="FFFF0000"/>
        <rFont val="Arial"/>
        <family val="2"/>
      </rPr>
      <t>FICOU ATE 01/2019 - SAIU</t>
    </r>
  </si>
  <si>
    <r>
      <t xml:space="preserve">Pro labore (   ) INSS (   )
GFIP (   )                                                                                   </t>
    </r>
    <r>
      <rPr>
        <b/>
        <sz val="9"/>
        <color rgb="FFFF0000"/>
        <rFont val="Arial"/>
        <family val="2"/>
      </rPr>
      <t xml:space="preserve"> TEM PLANO DE SAÚDE  - Solicitamos</t>
    </r>
  </si>
  <si>
    <r>
      <t xml:space="preserve">Pro labore (   ) INSS (   )
GFIP (   )                                                      </t>
    </r>
    <r>
      <rPr>
        <sz val="9"/>
        <color rgb="FFFF0000"/>
        <rFont val="Arial"/>
        <family val="2"/>
      </rPr>
      <t xml:space="preserve"> TEM PLANO DE SAÚDE Login nas particularidades</t>
    </r>
  </si>
  <si>
    <r>
      <t>Pro labore (   )
INSS (   )
GFIP (   )</t>
    </r>
    <r>
      <rPr>
        <sz val="9"/>
        <color rgb="FFFF0000"/>
        <rFont val="Arial"/>
        <family val="2"/>
      </rPr>
      <t xml:space="preserve"> </t>
    </r>
    <r>
      <rPr>
        <sz val="9"/>
        <rFont val="Arial"/>
        <family val="2"/>
      </rPr>
      <t xml:space="preserve">
</t>
    </r>
    <r>
      <rPr>
        <sz val="9"/>
        <color rgb="FFFF0000"/>
        <rFont val="Arial"/>
        <family val="2"/>
      </rPr>
      <t>Tem Plano de Saúde. Plasc - login 2653 senha 86542966000176</t>
    </r>
  </si>
  <si>
    <r>
      <t xml:space="preserve">Folha e Pro labore (   )
INSS (   )
FGTS e GFIP (   )
Tem hr extra, faltas e assiduidade. </t>
    </r>
    <r>
      <rPr>
        <sz val="9"/>
        <color rgb="FFFF0000"/>
        <rFont val="Arial"/>
        <family val="2"/>
      </rPr>
      <t>Tem parcelamento Div Ativa Uniao 9 INSS) e mais 2 inss comum</t>
    </r>
  </si>
  <si>
    <r>
      <t xml:space="preserve">Pro labore (   )
INSS (   )
GFIP (   )   </t>
    </r>
    <r>
      <rPr>
        <b/>
        <sz val="9"/>
        <color rgb="FFFF0000"/>
        <rFont val="Arial"/>
        <family val="2"/>
      </rPr>
      <t>Tem plano de saude passa mensal</t>
    </r>
  </si>
  <si>
    <r>
      <t xml:space="preserve">Folha e Pro labore (   )
INSS (   )
FGTS e GFIP (   )                                                                                                  </t>
    </r>
    <r>
      <rPr>
        <sz val="9"/>
        <color rgb="FFFF0000"/>
        <rFont val="Arial"/>
        <family val="2"/>
      </rPr>
      <t xml:space="preserve"> </t>
    </r>
    <r>
      <rPr>
        <sz val="9"/>
        <rFont val="Arial"/>
        <family val="2"/>
      </rPr>
      <t xml:space="preserve">                               </t>
    </r>
  </si>
  <si>
    <r>
      <t xml:space="preserve">Pro labore (   )
INSS (   )
GFIP (   )                                                                                                              </t>
    </r>
    <r>
      <rPr>
        <b/>
        <sz val="9"/>
        <color rgb="FFFF0000"/>
        <rFont val="Arial"/>
        <family val="2"/>
      </rPr>
      <t>Emite pro labore só quando tem NF</t>
    </r>
  </si>
  <si>
    <r>
      <t xml:space="preserve">Pro labore (   )  (   ) IR
INSS (   )     </t>
    </r>
    <r>
      <rPr>
        <sz val="9"/>
        <color rgb="FFFF0000"/>
        <rFont val="Arial"/>
        <family val="2"/>
      </rPr>
      <t>o func. Iago terá alteração em junho já fiz o aumento. R$ 1.726,50</t>
    </r>
    <r>
      <rPr>
        <sz val="9"/>
        <rFont val="Arial"/>
        <family val="2"/>
      </rPr>
      <t xml:space="preserve">    
GFIP (   )     Plano de saude do socio,vt desconta em folha 6%                                                                                             </t>
    </r>
  </si>
  <si>
    <r>
      <t xml:space="preserve">Folha  (  )
INSS (   )                                              S/M desde 08/2018
FGTS e GFIP (   )
</t>
    </r>
    <r>
      <rPr>
        <sz val="9"/>
        <color rgb="FFFF0000"/>
        <rFont val="Arial"/>
        <family val="2"/>
      </rPr>
      <t>Tem Gratificação + hr extra (Não paga 20% Patronal Imune)</t>
    </r>
  </si>
  <si>
    <r>
      <t xml:space="preserve">Folha (   ) 
INSS (   )  SAIU 01.2020
FGTS e GFIP (   )                                                                                                                    DARF (   )                                                                                                                      Boleto Astransp (   )                                                                                                        </t>
    </r>
    <r>
      <rPr>
        <sz val="9"/>
        <color rgb="FFFF0000"/>
        <rFont val="Arial"/>
        <family val="2"/>
      </rPr>
      <t>Tem 2 sindicatos  saúde salões de beleza</t>
    </r>
  </si>
  <si>
    <r>
      <t xml:space="preserve">Recibo e-social (   )                                                                                                       Recarga Astransp 4 Vts 3 X POR SEMANA                                                    Login 72938277687 senha 12345                                                            </t>
    </r>
    <r>
      <rPr>
        <b/>
        <sz val="9"/>
        <rFont val="Arial"/>
        <family val="2"/>
      </rPr>
      <t xml:space="preserve"> </t>
    </r>
    <r>
      <rPr>
        <b/>
        <sz val="9"/>
        <color rgb="FFFF0000"/>
        <rFont val="Arial"/>
        <family val="2"/>
      </rPr>
      <t>Não tem desconto de VT na folha de pagamento - BILHETE UNICO - afastada</t>
    </r>
  </si>
  <si>
    <r>
      <t xml:space="preserve">Recibo e-social (  )                                                                                                                                        Guia e-social (   )                                                                                             Login Astransp  98335855668  Senha:12345                                                                                                (  ) 2 VT seg a sexta                                                                                         </t>
    </r>
    <r>
      <rPr>
        <b/>
        <sz val="9"/>
        <color rgb="FFFF0000"/>
        <rFont val="Arial"/>
        <family val="2"/>
      </rPr>
      <t>(NÃO DESC EM FOLHA)</t>
    </r>
  </si>
  <si>
    <r>
      <t xml:space="preserve">Pro Labore (  )      INSS (  ) </t>
    </r>
    <r>
      <rPr>
        <b/>
        <sz val="9"/>
        <color rgb="FFFF0000"/>
        <rFont val="Arial"/>
        <family val="2"/>
      </rPr>
      <t>Tem plano de saude.</t>
    </r>
    <r>
      <rPr>
        <sz val="9"/>
        <rFont val="Arial"/>
        <family val="2"/>
      </rPr>
      <t xml:space="preserve"> Login nas particularidades</t>
    </r>
  </si>
  <si>
    <r>
      <t xml:space="preserve">Recibo de e-social (   )   Folha de ponto (    )                                                                                                           Guia e- social(   )                                                                                                     </t>
    </r>
    <r>
      <rPr>
        <b/>
        <sz val="9"/>
        <color rgb="FFFF0000"/>
        <rFont val="Arial"/>
        <family val="2"/>
      </rPr>
      <t xml:space="preserve">                                  </t>
    </r>
    <r>
      <rPr>
        <sz val="9"/>
        <rFont val="Arial"/>
        <family val="2"/>
      </rPr>
      <t xml:space="preserve">                                                                     Recibo Astrasnp (   )   sem funcionário.</t>
    </r>
  </si>
  <si>
    <r>
      <t xml:space="preserve">Pro labore (    )  Inss  (   )  Gfip   (   ) </t>
    </r>
    <r>
      <rPr>
        <b/>
        <sz val="9"/>
        <rFont val="Arial"/>
        <family val="2"/>
      </rPr>
      <t>passar sem movimento 01/2020</t>
    </r>
  </si>
  <si>
    <r>
      <t>Pro labore (   )
INSS (   )
GFIP (   )</t>
    </r>
    <r>
      <rPr>
        <sz val="9"/>
        <color rgb="FFFF0000"/>
        <rFont val="Arial"/>
        <family val="2"/>
      </rPr>
      <t xml:space="preserve">                                                                             </t>
    </r>
    <r>
      <rPr>
        <sz val="9"/>
        <rFont val="Arial"/>
        <family val="2"/>
      </rPr>
      <t xml:space="preserve">                                                                                                             </t>
    </r>
  </si>
  <si>
    <r>
      <t>(   ) Recibo  (   ) INSS   (    ) FGTS                (   ) Adiantamento   (   ) Darf sob folha</t>
    </r>
    <r>
      <rPr>
        <b/>
        <sz val="9"/>
        <color rgb="FFFF0000"/>
        <rFont val="Arial"/>
        <family val="2"/>
      </rPr>
      <t xml:space="preserve"> saiu 01.2020</t>
    </r>
  </si>
  <si>
    <r>
      <t xml:space="preserve">Recibo (     )   INSS (    )   FGTS (   ) </t>
    </r>
    <r>
      <rPr>
        <sz val="9"/>
        <color rgb="FFFF0000"/>
        <rFont val="Arial"/>
        <family val="2"/>
      </rPr>
      <t>OBS.: Paga no ultimo dia util do mês</t>
    </r>
  </si>
  <si>
    <r>
      <t>Pro labore (   )
INSS (   )
GFIP (   )</t>
    </r>
    <r>
      <rPr>
        <sz val="9"/>
        <color rgb="FFFF0000"/>
        <rFont val="Arial"/>
        <family val="2"/>
      </rPr>
      <t xml:space="preserve">        </t>
    </r>
    <r>
      <rPr>
        <sz val="9"/>
        <rFont val="Arial"/>
        <family val="2"/>
      </rPr>
      <t xml:space="preserve">                                                                                                           </t>
    </r>
  </si>
  <si>
    <r>
      <t xml:space="preserve">                                                                                                                                                                                                                                                                                                                    </t>
    </r>
    <r>
      <rPr>
        <b/>
        <sz val="9"/>
        <color rgb="FFFF0000"/>
        <rFont val="Arial"/>
        <family val="2"/>
      </rPr>
      <t>PEDIU PARA NÃO EMITIR VERIFICAR OS MESES EM QUE A RECEITA FOI ALTA PARA VOLTAR A EMITIR</t>
    </r>
  </si>
  <si>
    <r>
      <t xml:space="preserve">Folha (  )                                                                                                                                E-social (  )                                                                                                              </t>
    </r>
    <r>
      <rPr>
        <b/>
        <sz val="9"/>
        <color rgb="FFFF0000"/>
        <rFont val="Arial"/>
        <family val="2"/>
      </rPr>
      <t xml:space="preserve">MANDAR O MOV. NA EMPRESA RODRICAR                                                                                                                            </t>
    </r>
  </si>
  <si>
    <r>
      <t xml:space="preserve">(  ) Folha e Pro-labore                                                                                                              (   ) GPS                                                                                                                              (   ) FGTS e GFIP           </t>
    </r>
    <r>
      <rPr>
        <sz val="9"/>
        <color rgb="FFFF0000"/>
        <rFont val="Arial"/>
        <family val="2"/>
      </rPr>
      <t xml:space="preserve">saiu 01/2019       </t>
    </r>
    <r>
      <rPr>
        <sz val="9"/>
        <rFont val="Arial"/>
        <family val="2"/>
      </rPr>
      <t xml:space="preserve">                                                                                                                                                                                                   </t>
    </r>
  </si>
  <si>
    <r>
      <t xml:space="preserve">Recibo e-social (   )                             Guia e-social (   )                           </t>
    </r>
    <r>
      <rPr>
        <sz val="9"/>
        <color rgb="FFFF0000"/>
        <rFont val="Arial"/>
        <family val="2"/>
      </rPr>
      <t xml:space="preserve">         </t>
    </r>
    <r>
      <rPr>
        <b/>
        <sz val="9"/>
        <color rgb="FFFF0000"/>
        <rFont val="Arial"/>
        <family val="2"/>
      </rPr>
      <t xml:space="preserve">Enviado na Silveira Ramos          </t>
    </r>
    <r>
      <rPr>
        <sz val="9"/>
        <color rgb="FFFF0000"/>
        <rFont val="Arial"/>
        <family val="2"/>
      </rPr>
      <t xml:space="preserve">               </t>
    </r>
  </si>
  <si>
    <r>
      <t xml:space="preserve">Recibo e-social  (   )
</t>
    </r>
    <r>
      <rPr>
        <b/>
        <sz val="9"/>
        <color rgb="FFFF0000"/>
        <rFont val="Arial"/>
        <family val="2"/>
      </rPr>
      <t>Enviar movimentação na empresa Carolina Zagueto</t>
    </r>
  </si>
  <si>
    <r>
      <t xml:space="preserve">DESENQUADRADO SIMPLES 01/2019.    </t>
    </r>
    <r>
      <rPr>
        <b/>
        <sz val="9"/>
        <color rgb="FFFF0000"/>
        <rFont val="Arial"/>
        <family val="2"/>
      </rPr>
      <t xml:space="preserve"> S/M 01/2019                         VERIFICAR EMISSAO DE NF</t>
    </r>
  </si>
  <si>
    <r>
      <t xml:space="preserve">Pro labore (   )
INSS (   ) 
GFIP (   )                                                   </t>
    </r>
    <r>
      <rPr>
        <b/>
        <sz val="9"/>
        <color rgb="FFFF0000"/>
        <rFont val="Arial"/>
        <family val="2"/>
      </rPr>
      <t xml:space="preserve"> </t>
    </r>
  </si>
  <si>
    <r>
      <t>Folha e Pro labore (   )</t>
    </r>
    <r>
      <rPr>
        <b/>
        <sz val="9"/>
        <color rgb="FFFF0000"/>
        <rFont val="Arial"/>
        <family val="2"/>
      </rPr>
      <t xml:space="preserve">     </t>
    </r>
    <r>
      <rPr>
        <b/>
        <sz val="9"/>
        <rFont val="Arial"/>
        <family val="2"/>
      </rPr>
      <t xml:space="preserve">  </t>
    </r>
    <r>
      <rPr>
        <sz val="9"/>
        <rFont val="Arial"/>
        <family val="2"/>
      </rPr>
      <t>(   ) IRRF
INSS (   )
FGTS e GFIP (   )
COMISSÕES TEM QUE DESMENBRAR O DSR PASSA TOTAL</t>
    </r>
  </si>
  <si>
    <r>
      <t xml:space="preserve">Recibo (   ) Inss  (   )  Gfip  (  ) boleto vt (    ) </t>
    </r>
    <r>
      <rPr>
        <b/>
        <sz val="9"/>
        <color rgb="FFFF0000"/>
        <rFont val="Arial"/>
        <family val="2"/>
      </rPr>
      <t>Saindo em 12.2019</t>
    </r>
  </si>
  <si>
    <r>
      <t xml:space="preserve">ProLabore (   )  
INSS (   )
GFIP (   )      </t>
    </r>
    <r>
      <rPr>
        <b/>
        <sz val="9"/>
        <color rgb="FFFF0000"/>
        <rFont val="Arial"/>
        <family val="2"/>
      </rPr>
      <t>Tem NF Anxo IV verificar retencoes em NF emitidas</t>
    </r>
  </si>
  <si>
    <r>
      <t xml:space="preserve">Folha e Pro labore (   )                                
INSS (   )
GFIP (  )   </t>
    </r>
    <r>
      <rPr>
        <sz val="9"/>
        <color rgb="FF00B0F0"/>
        <rFont val="Arial"/>
        <family val="2"/>
      </rPr>
      <t>10.2019 sem movimento</t>
    </r>
    <r>
      <rPr>
        <sz val="9"/>
        <rFont val="Arial"/>
        <family val="2"/>
      </rPr>
      <t xml:space="preserve">
</t>
    </r>
  </si>
  <si>
    <r>
      <t xml:space="preserve">Pro labore (   )  
INSS (   )
GFIP (   )                 Inicio 11/2019 verificar faturamento anexo IV - Fator R </t>
    </r>
    <r>
      <rPr>
        <b/>
        <sz val="9"/>
        <color rgb="FFFF0000"/>
        <rFont val="Arial"/>
        <family val="2"/>
      </rPr>
      <t>saiu 02.2020</t>
    </r>
  </si>
  <si>
    <r>
      <t xml:space="preserve">Recibo e-social (   )                                                                                                                      Guia e-social (   ) Não pode deixar na Portaria </t>
    </r>
    <r>
      <rPr>
        <sz val="9"/>
        <color rgb="FFFF0000"/>
        <rFont val="Arial"/>
        <family val="2"/>
      </rPr>
      <t>DOMESTICA SAIU 02/2019</t>
    </r>
  </si>
  <si>
    <t xml:space="preserve">Estacionamento e Garagens: Data Base Maio </t>
  </si>
  <si>
    <t xml:space="preserve">https://unibenjf.com.br/index.php  - Login 10742837000160
Senha 11151905  Entra pelo internet Explore, extrato mensais; extrato completo, competencia o mês atual , e 2020 na proxima aba que não aparece nada
</t>
  </si>
  <si>
    <r>
      <t xml:space="preserve"> LOGIN ASTRANSP 30500164000149 SENHA 12345     FUNCIONÁRIA VIVIANE 1 VT POR DIA 2ª a 6ª PASSA (cartao comum)</t>
    </r>
    <r>
      <rPr>
        <sz val="10"/>
        <color rgb="FFFF0000"/>
        <rFont val="Calibri"/>
        <family val="2"/>
        <scheme val="minor"/>
      </rPr>
      <t xml:space="preserve"> *Não tem mais funcionaria</t>
    </r>
    <r>
      <rPr>
        <sz val="10"/>
        <rFont val="Calibri"/>
        <family val="2"/>
        <scheme val="minor"/>
      </rPr>
      <t xml:space="preserve"> FECHAMENTO,QUANTIDADE DE HORAS NO MÊS.ATENTAR QUE POR SER UMA EMPRESA QUE PRESTA SERVIÇOS,TEM TOMADORES DE OBRA,PORTANTO TODO MÊS TEM QUE PEGAR AS NOTAS NA PREFEITUTA,ADICIONAR ELAS NO SERVIÇOS E FAZER AS RETENÇOES DO INSS PARA ABATER NA FOLHA.PASSAR NA SEFIP 150 E VERIFICAR SEMPRE A PLANILHA NA PASTINHA PARA VER O QUE SOBROU DO MES PASSADO PARA INCLUIR.</t>
    </r>
  </si>
  <si>
    <r>
      <t>• MENSALMENTE PASSA COMISSÃO
• FAZER RECIBO DA ASTRANSP - CNPJ 21104245000139 - SENHA 12345 - 2º A SAB 2 POR DIA - ENVIAR JUNTO HISTORICO DO PEDIDO - ENVIAR ATÉ O DIA 25.</t>
    </r>
    <r>
      <rPr>
        <sz val="10"/>
        <color rgb="FFFF0000"/>
        <rFont val="Calibri"/>
        <family val="2"/>
        <scheme val="minor"/>
      </rPr>
      <t xml:space="preserve"> (não tem mais func com vt)</t>
    </r>
    <r>
      <rPr>
        <sz val="10"/>
        <rFont val="Calibri"/>
        <family val="2"/>
        <scheme val="minor"/>
      </rPr>
      <t xml:space="preserve">
  EMPREGADOR WEB - LOGIN - NOVUS123   SENHA - 2110424500 - Mandar as folhas até o dia 30 ou 31 de cada mês. Funcionária Helena n ão tem vt.</t>
    </r>
  </si>
  <si>
    <t>FABRICIO REBELLO LIGNANI SIQUEIRA</t>
  </si>
  <si>
    <t>E-SOCIAL</t>
  </si>
  <si>
    <t>PASSAR GFIP S/M 03.2020</t>
  </si>
  <si>
    <t xml:space="preserve">• Vale transporte não faz mais recarga. Senha 12345 - Login 13358073000100 - SITE 
• Doutor Fabricio já faz retirada no teto máximo em outra empresa. 
• TEM PLANO DE SAÚDE (SÓ DESCONTA DOS DEP. MENS. E COOP). Dos funcionários descontar apenas co-participação, lança todo mês na domínio as informações de desconto.
</t>
  </si>
  <si>
    <t>Folha e Pro labore (   )                              IR  (  )
INSS (   )      
FGTS e GFIP (   )ENVIAR PAGAMENTO DE GPS DE MARCO PARA PG EM SETEMBRO
Manda comissão e plano de saude</t>
  </si>
  <si>
    <t>Tem vale transporte  Astransp Login: 23558652649 senha: 12345 e 2 vales de seg a sext (comum: Carlos,  Weligton, Luiz fernando )(BU:  Thiago) Transur Login: 366 senha: 26166137 (Airton 14,00 por dia seg a sext) transur tel: 32491800 http://www.transur.com.br/</t>
  </si>
  <si>
    <t>CONSTRUÇÃO/ABRIL</t>
  </si>
  <si>
    <t>CONTRUÇAO/ABRIL</t>
  </si>
  <si>
    <t xml:space="preserve">NÃO TEM FUNC COM  VT  MAIS DE SEG A SEXTA 2 POR DIA LOGIN:31067650000188 SENHA:12345 
As funcionárias tem adiantamento, ela passa o valor todo dia 02 
</t>
  </si>
  <si>
    <t>Folha (   ) BOL. ASTRANSP    (   )
INSS (   ) GFIP (   )           passar s/m mês 05/2020</t>
  </si>
  <si>
    <r>
      <t xml:space="preserve">Folha (  )                                    </t>
    </r>
    <r>
      <rPr>
        <sz val="9"/>
        <color rgb="FFFF0000"/>
        <rFont val="Arial"/>
        <family val="2"/>
      </rPr>
      <t>Passa adiant até dia 25</t>
    </r>
    <r>
      <rPr>
        <sz val="9"/>
        <rFont val="Arial"/>
        <family val="2"/>
      </rPr>
      <t xml:space="preserve">
INSS (   )
FGTS e GFIP (   )             passar sem movimento 05/2020                                                                                                                            </t>
    </r>
  </si>
  <si>
    <t xml:space="preserve">MARÇOJá recolhe teto maximo na SDEVA (17.153.081/0001-62).Apenas emitir Pl sem retenção de inss. </t>
  </si>
  <si>
    <t xml:space="preserve">Folha e Pro labore (   ) TIRAR PRO LABORE ABRIL E MAIO rodrigo
INSS (   )            Plano de Saude 
FGTS e GFIP (   )                                                                                                                 Adiantamento (   )   </t>
  </si>
  <si>
    <t>PIS  SOBRE A FOLHA
PLANO DE SAÚDE FIXO 
SEGURO DE VIDA R$4,15 POR FUNCIONARIO
ENTREGAR ATÉ O DIA 30. 
Tem quatro RPAS até acabar o projeto. Tem ISSQN quando tiver RPA (Valor da Guia R$191,40): 01.149.866/0001-21 CENTRO DE APOIO E SOLIDARIED` AIDS
412 Raquel  R$500,00 Bruto – ARTESÃO BORDADOR (Código do Serviço: 08.02)
413 Joane R$ 1040,00 Bruto - ADVOGADO (Código do Serviço: 17.14)
416 Flavia R$1248,00 Bruto– PSICOLOGO CLINICO (Código do Serviço: 04.16)
417 Jaferson R$1040,00 Bruto– ASSISTENTE SOCIAL (Código do Serviço: 27.01)
ISSQN coloca no momento que gera o RPA, de acordo com o que elas trabalham é 5%.
Data de pagamento sempre último dia do mês.</t>
  </si>
  <si>
    <t>Parcelamento INSS</t>
  </si>
  <si>
    <t>NÂO</t>
  </si>
  <si>
    <r>
      <t xml:space="preserve">Recibo e-social (   )                             Guia e-social (   )                                                                                                                      Recibo Astrasp (   )                             Folha de ponto  (     )                                                                                      </t>
    </r>
    <r>
      <rPr>
        <b/>
        <sz val="9"/>
        <color rgb="FFFF0000"/>
        <rFont val="Arial"/>
        <family val="2"/>
      </rPr>
      <t>Postar junto com a folha da Adriana Duque no site. 2 vt seg a sab. NÃO GERAR BOLETO DURANTE A PANDEMIA</t>
    </r>
  </si>
  <si>
    <t xml:space="preserve">Plano de saude é fixo Lucia e Joao 1.1131,91 cada por mes e Roberta 316,12 e Thales 188,98 verificar quando mudar anualmente pedir.
TODO MÊS PASSA OS EXTRAS EM PLANILHAS . PAGA SEMPRE NA SEXTA FEIRA , DIA 25 SEMPRE JÁ PEDIR O FECHAMENTO 
Funcionarios que tiverem Plano de Saúde AME é descontado 1,00 - Quando tiver exames especificar
Desconto de alimentação 1,00 para todos
TEM PENSAO ALIMENTICIA  LIQUIDO IGOR RENAN 24%LIQUIDO(FERIAS,RESCISÃO,13º)
Fazer recarga de Vale transporte. Astransp login 16904245000183 senha 52170000(2vt para todos- 2ª a  6ª - Aristides,Igor Renan,Pedro Dias,Selma,Valmir,Carlos Roberto,Ramon e Gabriel, que esta afastado ate 16/01/2020 ainda permanece afastado esperando reposicionamento
Senha empregador web: Login: RODRICARLX  Senha: 51170000RO
 adiantamento toda sexta feria mandar junto com a folha de pagamento ,ADIANTAMENTO 40%           
Pagamento sempre Primeiro dia util , Pedir o fechamento do mês, descontos de farmacia, plano medico , faltas em dias e horas ,Adiantamento sempre dia 15 e 40 % sobre o salario base.   </t>
  </si>
  <si>
    <t>POR E-MAIL</t>
  </si>
  <si>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REFEIÇÃO
VALOR DO TICKET POR DIA 13,20 EM JF E QUANDO TEM FUNCIONÁRIO EM BH 21,00 O DIA
</t>
  </si>
  <si>
    <t>EMAIL</t>
  </si>
  <si>
    <t>ESPACO DO CORPO</t>
  </si>
  <si>
    <t>inicio 04.2020</t>
  </si>
  <si>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 tutorial esta em:P:\documentos\OneDrive - Novus Contabilidade\Doc Compartilhado\Pessoal\Relatórios Sefip\Smart NX\2020 -  processo de recibo  PLASC PLANO DE SAUDE LOGIN 4789 SENHA 13500865000169</t>
  </si>
  <si>
    <t>ESPAÇO CONVIVER</t>
  </si>
  <si>
    <t>RECARGA ASTRANSP LOGIN - 23843502000180 SENHA 123456 -  Vale transporte para priscila seg a sab 2 vts (cartao comum). Plano de Saude, elas não estão passando, estamos repetindo o mesmo.</t>
  </si>
  <si>
    <r>
      <t xml:space="preserve">• TEM BIENIO - TODO FUNCIONARIO A CADA 2 ANOS DE TRABALHO PASSA A TER O DIREITO DE ADICIONAL DE 3% SOBRE SALARIO BASE. </t>
    </r>
    <r>
      <rPr>
        <b/>
        <sz val="10"/>
        <color indexed="10"/>
        <rFont val="Calibri"/>
        <family val="2"/>
        <scheme val="minor"/>
      </rPr>
      <t xml:space="preserve">JÁ TEM FORMULA NA EMPRESA </t>
    </r>
    <r>
      <rPr>
        <b/>
        <sz val="10"/>
        <rFont val="Calibri"/>
        <family val="2"/>
        <scheme val="minor"/>
      </rPr>
      <t>PODE TIRAR AS FÉRIAS ANTES DE VENCER A SEGUNDA E SOMENTE AVISAR QUE ESTA MANDANDO O RECIBO DE FÉRIAS.</t>
    </r>
  </si>
  <si>
    <r>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TODOS OS FUNCIONÁRIOS QUE TEM ATIVIDADE DO ANEXO IV "SONDADOR OU AUXILIAR DE SONDADOR" TEM RECOLHIMENTO DE 20% PATRONAL E 4,33% RAT APENAS EM CIMA DA SOMA DELES.SEFIP PASSADA NO 150 (ATENTAR A SEFIP,POIS O VALOR DELA VAI SER SEM OS VALORES  DO RAT E O PATRONAL.)</t>
    </r>
    <r>
      <rPr>
        <sz val="10"/>
        <color rgb="FFFF0000"/>
        <rFont val="Calibri"/>
        <family val="2"/>
        <scheme val="minor"/>
      </rPr>
      <t>O FUNCIONARIO VITOR E ENGENHEIRO RECEBE 40,37 A HORA TRABALHADA,ELE VAI RECEBER MENSAL 2.000,00 POR MES COM O DSR.+ -42 A 43 HORAS MES</t>
    </r>
  </si>
  <si>
    <r>
      <t xml:space="preserve">• TEM PLANO DE SAUDE A SER DESCONTADO DOS SOCIOS; </t>
    </r>
    <r>
      <rPr>
        <sz val="10"/>
        <color rgb="FFFF0000"/>
        <rFont val="Calibri"/>
        <family val="2"/>
        <scheme val="minor"/>
      </rPr>
      <t>SOLICITAR OS VALORES DO PLANO DE SAÚDE</t>
    </r>
    <r>
      <rPr>
        <sz val="10"/>
        <rFont val="Calibri"/>
        <family val="2"/>
        <scheme val="minor"/>
      </rPr>
      <t xml:space="preserve">
•</t>
    </r>
    <r>
      <rPr>
        <b/>
        <sz val="10"/>
        <rFont val="Calibri"/>
        <family val="2"/>
        <scheme val="minor"/>
      </rPr>
      <t xml:space="preserve"> NÃO TEM - </t>
    </r>
    <r>
      <rPr>
        <sz val="10"/>
        <rFont val="Calibri"/>
        <family val="2"/>
        <scheme val="minor"/>
      </rPr>
      <t>PASSA A QUANTIDADE DE VT QUE FUNCIONARIO UTILIZA; BOLETO ASTRANSP CNPJ 09.059.360/0001-33 SENHA 12345, ENVIAR JUNTO O HISTORICO DO PEDIDO (2 POR DIA 2º A 6º)
• LANÇAR GEFIP AA ARSENIC</t>
    </r>
  </si>
  <si>
    <r>
      <t>Astransp - Login - 38536678000166  Senha 12345 - 2 vt de seg a sexta /  Unimed  - Login 87593 Senha 11151905 / Bahamas Card - Login 38536678000166 Senha @Novus11151905.Valor do Plano de saude  descontar 40% da mensalidade do funcionário, depentende e co-participação fazer o desconto 100%.Plano odontologico descontar 14,94 do funcionário e 29,88 de cada dependente ( reajuste em junho).Funcionários que recebem o vale transporte em dinheiro</t>
    </r>
    <r>
      <rPr>
        <sz val="10"/>
        <color rgb="FFFF0000"/>
        <rFont val="Calibri"/>
        <family val="2"/>
        <scheme val="minor"/>
      </rPr>
      <t xml:space="preserve">:Janina, izadora,Jaqueline Araujo,Brenda,Priscila Barino,Bruna,raquel,jessica </t>
    </r>
    <r>
      <rPr>
        <sz val="10"/>
        <rFont val="Calibri"/>
        <family val="2"/>
        <scheme val="minor"/>
      </rPr>
      <t xml:space="preserve">carolina.Recibo de alimentação so a Brenda recebe em dinheiro.OS funcionários admitidos deverá ser feitos a inclusao no bahamas card. Valor VA 290,00 e para quem trabalha meio expediente 180,00 estagiarios nao tem.  Acesso ao site uniodonto para desconto odontologico https://www.uniodontojf.com.br/portal/index.php Usuário: 38.536.678/0001-66
Senha:@novus11151905
</t>
    </r>
  </si>
  <si>
    <r>
      <t xml:space="preserve">• LANÇAR SEGURO DE VIDA NO CADASTRO DO FUNCIONARIO COD 634 - R$. 0,28 - </t>
    </r>
    <r>
      <rPr>
        <b/>
        <sz val="10"/>
        <color indexed="10"/>
        <rFont val="Calibri"/>
        <family val="2"/>
        <scheme val="minor"/>
      </rPr>
      <t xml:space="preserve">JÁ ESTÁ LANÇADO NO CADASTRO DO FUNCIONÁRIO </t>
    </r>
    <r>
      <rPr>
        <sz val="10"/>
        <color indexed="8"/>
        <rFont val="Calibri"/>
        <family val="2"/>
        <scheme val="minor"/>
      </rPr>
      <t>(PERGUNTAR QUANDO VAI COMEÇAR LANÇAR O DESCONTO DO SEGURO FUNCIONÁRIO NOVO) GERAR BOLETO DE VT PARA A FUNC. JANETE 2 VT DE SEG A SEXTA . LOGIN: 10509787000175 SENHA:12345</t>
    </r>
    <r>
      <rPr>
        <sz val="10"/>
        <rFont val="Calibri"/>
        <family val="2"/>
        <scheme val="minor"/>
      </rPr>
      <t xml:space="preserve">
• FAZER RECIBO DE ALIMENTAÇÃO VALOR R$. 13,20 POR DIA 2º A 6º - RECIBO POR FORA ( fazer sempre do mês estamos).
• FRANCISCO  - PENSÃO ALIMENTICIA - 40% DO VALOR LÍQUIDO DA FOLHA (NÃO ABATER VT, NEM ADIANTAMENTO) - INCLUSIVE SOBRE 13º SALÁRIO
• O SALARIO DEVE SER PAGO ATÉ DIA 5 DO MÊS SUBSEQUENTE 
• FAZER ADIANTAMENTO DE SALARIO ATÉ O DIA 20 DE CADA MÊS - 40% DO SALÁRIO NOMINAL (SÓ A NÉIA QUE NÃO FAZ ADIANTAMENTO SALÁRIO) - MANDAR POR site
Gerar os recibos de ferias sempre no primeiro semestre. Ligar para perguntar quais meses e qual funcionário fara os recibos. ATENTAR NAS FERIAS,NÃO EMITIR O ADIANTAMENTO NAQUELE MES,PARA NÃO FICAR NEGATIVO.</t>
    </r>
    <r>
      <rPr>
        <sz val="10"/>
        <color rgb="FFFF0000"/>
        <rFont val="Calibri"/>
        <family val="2"/>
        <scheme val="minor"/>
      </rPr>
      <t>A empresa tem NF com retençaõ porém a empresa a guia é enviada pela empresa.</t>
    </r>
  </si>
  <si>
    <r>
      <t>• FAZER RECIBO ASTRANSP - CNPJ 38.647.517/0001-40 - SENHA 12345 - 2 º A SAB: TAMMY (01 VT POR DIA),  WASHINGTON (4 VT POR DIA) E ENVIAR JUNTO O HISTÓRICO DO PEDIDO DO VALE TRANSPORTE.</t>
    </r>
    <r>
      <rPr>
        <sz val="10"/>
        <color indexed="10"/>
        <rFont val="Calibri"/>
        <family val="2"/>
        <scheme val="minor"/>
      </rPr>
      <t>O plano de saude é apenas do Geraldo.</t>
    </r>
  </si>
  <si>
    <r>
      <t xml:space="preserve">• PASSA FALTA TODO MÊS E PASSA O DIA QUE TEM QUE ENVIAR A FOLHA DE PGTO
• LANÇAR TODO MÊS CONTRIBUIÇÃO ASSISTENCIAL - COD 617 - (SINDICATO DOS TRANSPORTES MANDA A GUIA)
• FAZER ADIANTAMENTO ATÉ O DIA 15 DE CADA MÊS - CÍNTIA - R$. 200,00 E DOS INSTRUTORES - R$. 650,00. (MANDA POR EMAIL)
• PEGAR VALOR DA UNIMED PRA ABATER DO PRO LABORE  (FICOU DE AVISAR QUANDO AUMENTAR)
• ADIANTAMENTO SALARIAL
</t>
    </r>
    <r>
      <rPr>
        <b/>
        <sz val="10"/>
        <rFont val="Calibri"/>
        <family val="2"/>
        <scheme val="minor"/>
      </rPr>
      <t xml:space="preserve">obs: FUNCIONÁRIOS EM PERÍODO DE EXPERIÊNCIA PAGA-SE SALÁRIO DE INGRESSO - ADIANTAMENTO 50%                                                                                                                          </t>
    </r>
  </si>
  <si>
    <r>
      <t>•</t>
    </r>
    <r>
      <rPr>
        <b/>
        <sz val="10"/>
        <rFont val="Calibri"/>
        <family val="2"/>
        <scheme val="minor"/>
      </rPr>
      <t xml:space="preserve"> CONFIRMAR TODOS OS MESES COM DAVIDSON (indentcomunica@indentilab.com.br), HE E FALTAS
ENVIAR PELO SITE</t>
    </r>
    <r>
      <rPr>
        <sz val="10"/>
        <rFont val="Calibri"/>
        <family val="2"/>
        <scheme val="minor"/>
      </rPr>
      <t>. EMAIL DO SR. HENRIQUE</t>
    </r>
    <r>
      <rPr>
        <b/>
        <sz val="10"/>
        <color indexed="62"/>
        <rFont val="Calibri"/>
        <family val="2"/>
        <scheme val="minor"/>
      </rPr>
      <t xml:space="preserve"> </t>
    </r>
    <r>
      <rPr>
        <b/>
        <u/>
        <sz val="10"/>
        <color indexed="62"/>
        <rFont val="Calibri"/>
        <family val="2"/>
        <scheme val="minor"/>
      </rPr>
      <t>administrativojf@indentlab.com.br</t>
    </r>
    <r>
      <rPr>
        <sz val="10"/>
        <color indexed="62"/>
        <rFont val="Calibri"/>
        <family val="2"/>
        <scheme val="minor"/>
      </rPr>
      <t xml:space="preserve"> </t>
    </r>
    <r>
      <rPr>
        <sz val="10"/>
        <rFont val="Calibri"/>
        <family val="2"/>
        <scheme val="minor"/>
      </rPr>
      <t xml:space="preserve">ATÉ O DIA 30 DE CADA MÊS.
• EMPRESA VAI PASSAR ATÉ DIA 20 VALORES DE ADIANTAMENTO. NORMALMENTE É VALOR DE R$ 200,00 PARA OS FUNCIONARIOS CLAUDINEY - DAVIDSON E CLEITON E PARA OS SÓCIOS TIAGO E SIDNEY NO VALOR DE R$. 200,00 (ENVIAR PELO SITE). </t>
    </r>
    <r>
      <rPr>
        <b/>
        <sz val="10"/>
        <rFont val="Calibri"/>
        <family val="2"/>
        <scheme val="minor"/>
      </rPr>
      <t>ATENÇÃO: MESES DE NOVEMBRO E DEZEMBRO CONFIRMAR SE TERÁ ADIANTAMENTO DOS SÓCIOS E FUNCIONÁRIOS</t>
    </r>
    <r>
      <rPr>
        <sz val="10"/>
        <rFont val="Calibri"/>
        <family val="2"/>
        <scheme val="minor"/>
      </rPr>
      <t xml:space="preserve">
•TEM ADINATAMENTO SALARIAL DOS SÓCIOS /O Sócio Sérgio tem plano de saúde fixo( SERGIO HENR. $ 919,54 E CAMILLE $ 389,82 ATÉ JULHO) ELE VAO COMUNICAR QDO SOFRER ALTERAÇÃO.
TODOS FUNCIONÁRIOS TEM INSALUBRIDADE
*ELE PASSA AS HORAS EXTRAS MENSAL</t>
    </r>
  </si>
  <si>
    <r>
      <t xml:space="preserve">Começou a ter plano de saúde em outubro, </t>
    </r>
    <r>
      <rPr>
        <sz val="10"/>
        <color rgb="FFFF0000"/>
        <rFont val="Calibri"/>
        <family val="2"/>
        <scheme val="minor"/>
      </rPr>
      <t>SOLICITAR OS VALORES DO PLANO DE SAÚDE - Plasc Login: 4940 Senha: hejovi705 - codigo 220 plano saude</t>
    </r>
  </si>
  <si>
    <r>
      <t xml:space="preserve">• </t>
    </r>
    <r>
      <rPr>
        <b/>
        <sz val="10"/>
        <rFont val="Calibri"/>
        <family val="2"/>
        <scheme val="minor"/>
      </rPr>
      <t>NÃO</t>
    </r>
    <r>
      <rPr>
        <sz val="10"/>
        <rFont val="Calibri"/>
        <family val="2"/>
        <scheme val="minor"/>
      </rPr>
      <t xml:space="preserve"> MANDAR MOVIMENTO ZIPADO E TEM PLANO DE SAUDE A SER LANÇADO NO PRO LABORE. PEGAR EXTRATO EM :</t>
    </r>
    <r>
      <rPr>
        <sz val="10"/>
        <color rgb="FFFF0000"/>
        <rFont val="Calibri"/>
        <family val="2"/>
        <scheme val="minor"/>
      </rPr>
      <t xml:space="preserve">http://www.plasc.org.br/     - </t>
    </r>
    <r>
      <rPr>
        <sz val="10"/>
        <rFont val="Calibri"/>
        <family val="2"/>
        <scheme val="minor"/>
      </rPr>
      <t xml:space="preserve"> AREA DO CLIENTE LOGIN: 2653  SENHA: 86542966000176 
</t>
    </r>
  </si>
  <si>
    <r>
      <t xml:space="preserve">
• PASSA MENSALMENTE HR EXTRA (SAB É 100% DE 2º A 6º É 60%), COMISSÃO E VALOR DA UNIMED) - LANÇAR REEMBOLSO CRECHE PARA ELAINE NO VALOR DE R$. 500,OO -       MENSAL
• DESCONTAR PLANO DE SAÚDE DO PRO LABORE (HIDERALDO + GUILHERME E GABRIEL, NÃO INCLUIR A JOSELY)
• LANÇAR O VALOR DO PLANO DE SAÚDE DOS FUNCIONARIOS NA FOLHA DE PAGTO (NÃO É NO CAMPO DE ADICIONAIS, E SÓ UM INFORMATIVO, DUVIDA OLHAR FOLHAS ANTERIORES IMPRESSAS) .
• LANÇAR ADICIONAL POR TEMPO DE SERVIÇO - R$.23,04 POR CADA ANO (MENSAL)</t>
    </r>
    <r>
      <rPr>
        <b/>
        <sz val="10"/>
        <color indexed="10"/>
        <rFont val="Calibri"/>
        <family val="2"/>
        <scheme val="minor"/>
      </rPr>
      <t xml:space="preserve"> JÁ TEM FORMULA NA EMPRESA      * Descontar em folha desconto do convenio Coop Ban /  Tem guia de retenção de INSS de empresa prestadora de serviço, mais a contabilidade da prestadora gera.</t>
    </r>
  </si>
  <si>
    <r>
      <t>• MENSALMENTE PASSA FALTAS, HE, ASSISTÊNCIA MÉDICA, PLANO ODONTOLOGICO E VALOR VT DOA FUNCIONARIOS QUE GANHAM ACIMA DE 6% DO SALÁRIO
• VERIFICAR O VALOR QUE A EMPRESA PAGA DE ASSISTÊNCIA MÉDICA PARA OS SÓCIOS E TRANSFERIR O VALOR DESCONTADO PARA O PRO LABORE
• FAZER IRRF SOBRE ALUGUEL (APANHAR OS RECIBOS COM O SETOR DE ARQUIVO PARA CONFERENCIA DE VALORES) - FAZER GUIA CENTRALIZADA NA MATRIZ - VENCIMENTO 20 (ANTECIPA) - COD 3208 - CNPJ 04.276.354/0001-14 -</t>
    </r>
    <r>
      <rPr>
        <b/>
        <sz val="10"/>
        <rFont val="Calibri"/>
        <family val="2"/>
        <scheme val="minor"/>
      </rPr>
      <t xml:space="preserve"> A PARTIR DE JULHO O PRO LABORE PASSOU A SER RETIRADO NA FILIAL</t>
    </r>
  </si>
  <si>
    <r>
      <t>• ENVIAR O FOLHA ATÉ O DIA 27
• SOLICITAR AUXÍLIO ALIMENTAÇÃO ATÉ 25 NO SITE, WWW.BIGCARD.COM.BR - COD 70003 - CPF: 55321020663 - SENHA: 1234 - DISPONIBILIDADE DO BENEFÍCIO DIA 1º DE CADA MÊS - CALCULAR • DIAS UTEIS  - 2º A 6º. IR EM LANCAMENTO DE CREDITOS DIGITAR A DATA DO CREDITO E O VALOR E PEDIR PARA VISUALIZAR - VALOR R$ 19,30 (POR DIA) (janeiro aumenta) Pedro Henrique não tem vale alimentação pois trabalha menos horas.</t>
    </r>
    <r>
      <rPr>
        <sz val="10"/>
        <color rgb="FFFF0000"/>
        <rFont val="Calibri"/>
        <family val="2"/>
        <scheme val="minor"/>
      </rPr>
      <t>Valor do anuênio é de $25,52 anual ( o Valor é aumentado a cada ano).</t>
    </r>
    <r>
      <rPr>
        <sz val="10"/>
        <rFont val="Calibri"/>
        <family val="2"/>
        <scheme val="minor"/>
      </rPr>
      <t xml:space="preserve">
• A EMPRESA BIG CARD ENCAMINHA O BOLETO PARA A PROTEGE (IMPRIMIR DEMONSTRATIVO)
• DESCONTAR NA FOLHA DE PGTO 20% SOBRE O VALOR DA RECARGA DO MÊS DE COMPETÊNCIA DA FOLHA VISUALIZAR NO LANÇAMENTO DE CREDITO,CONSULTA DE CREDITO COMPETENCIA.VIZUALIZAR MES QUE IRA FECHAR.
• A RECARGA SERÁ DO MÊS POSTERIOR AO DA COMPETÊCIA DA FOLHA DE PAGAMENTO GERADA.
• FAZER O RECIBO DA ASTRANSP - CNPJ 38652087000154 - SENHA: 38652087 - E ENVIAR JUNTO O HISTORICO DO PEDIDO DO VALE TRANSPORTE, Angelica e Fernanda 2 vales de segunda a sexta.
• SENHA INSS 38652087
• LANÇAR ADD POR TEMPO DE SERVIÇO  A CADA ANO DE TRABALHO. PARA VALOR DE ALIMENTAÇÃO E ANUENIO VERIFICAR CONVENÇÃO ATUALIZADA.</t>
    </r>
    <r>
      <rPr>
        <sz val="10"/>
        <color rgb="FFFF0000"/>
        <rFont val="Calibri"/>
        <family val="2"/>
        <scheme val="minor"/>
      </rPr>
      <t>ATENÇÃO:</t>
    </r>
    <r>
      <rPr>
        <sz val="10"/>
        <rFont val="Calibri"/>
        <family val="2"/>
        <scheme val="minor"/>
      </rPr>
      <t xml:space="preserve"> LANÇAR NA FOLHA PARTICIPAÇÃO DOS LUCROS 1° PARCELA EM JULHO QUE PAGA NA FOLHA DE AGOSTO NO 5° DIA UTIL E A 2° PARCELA EM SETEMBRO QUE PAGA NA FOLHA DE OUTUBRO.</t>
    </r>
    <r>
      <rPr>
        <sz val="10"/>
        <color rgb="FFFF0000"/>
        <rFont val="Calibri"/>
        <family val="2"/>
        <scheme val="minor"/>
      </rPr>
      <t>( pedro henrique esta afastado desde 10/2019 n° do beneficio 200631515</t>
    </r>
  </si>
  <si>
    <r>
      <rPr>
        <sz val="10"/>
        <color rgb="FFFF0000"/>
        <rFont val="Calibri"/>
        <family val="2"/>
        <scheme val="minor"/>
      </rPr>
      <t xml:space="preserve">(Funcionário receberá o salário bruto de R$2.100,00 ( O salário dele é R$1.278,96 o restante será pago da seguinte forma: Bonificação R$100,00 a partir de agosto 2017. O restante do salário será pago em hora extra e adicional noturno. NÃO DEIXAR SALÁRIO AUMENTAR MUITO NO MÁXIMO PODE CHEGAR A R$2.200,00 </t>
    </r>
    <r>
      <rPr>
        <sz val="10"/>
        <rFont val="Calibri"/>
        <family val="2"/>
        <scheme val="minor"/>
      </rPr>
      <t>NÃO TEM MAIS O FUNCIONÁRIO NESTA CONDIÇÃO</t>
    </r>
    <r>
      <rPr>
        <sz val="10"/>
        <color rgb="FFFF0000"/>
        <rFont val="Calibri"/>
        <family val="2"/>
        <scheme val="minor"/>
      </rPr>
      <t>)</t>
    </r>
  </si>
  <si>
    <r>
      <t>Pedir vale transporte ate dia 25  de cada mês. Login: 12729583000175 - senha:12345 - Enviar junto histórico do pedido. A Fun. Thaís Coema tem bilhete unico e 3 vts por dia,Elen, Elizabeth e Flávia e Paula3Vt de seg a sexta ( PASSOU A SER BILHETE UNICO DE TODAS AS FUNCIONARIAS).S</t>
    </r>
    <r>
      <rPr>
        <sz val="10"/>
        <color indexed="10"/>
        <rFont val="Calibri"/>
        <family val="2"/>
        <scheme val="minor"/>
      </rPr>
      <t>olicitar o relatorio de gastos com a Unimed.Desconta os gastos com dependentes e uso dos funcionários.Mensalidade dos funcionários não é descontada. Adiantamento é passado os valores para mandar.</t>
    </r>
  </si>
  <si>
    <r>
      <t xml:space="preserve">Funcionários trabalham 12x36. 
Adicional Noturno de </t>
    </r>
    <r>
      <rPr>
        <b/>
        <sz val="10"/>
        <rFont val="Calibri"/>
        <family val="2"/>
        <scheme val="minor"/>
      </rPr>
      <t>50%</t>
    </r>
    <r>
      <rPr>
        <sz val="10"/>
        <rFont val="Calibri"/>
        <family val="2"/>
        <scheme val="minor"/>
      </rPr>
      <t xml:space="preserve">  9 horas por noite ( Calcular dia sim e dia não- incluindo sábado e domingo). Pagar de 22h Às 7h - Mensalmente passa quem trabalha - Insalubridade paga apenas para cuidador de idosos</t>
    </r>
  </si>
  <si>
    <r>
      <t>Adilson passa mensalmente comissões dos funcionários .Passa tb o valor das diárias de viagem.Não faz desconto da contribuicao negocial mensal do comercio nem dos transportes. Pagar adc Noturno para os vigias , trabalham dia sim, dia nao 7 horas de adicional</t>
    </r>
    <r>
      <rPr>
        <sz val="10"/>
        <color rgb="FFFF0000"/>
        <rFont val="Calibri"/>
        <family val="2"/>
        <scheme val="minor"/>
      </rPr>
      <t xml:space="preserve">. </t>
    </r>
    <r>
      <rPr>
        <b/>
        <sz val="10"/>
        <color rgb="FFFF0000"/>
        <rFont val="Calibri"/>
        <family val="2"/>
        <scheme val="minor"/>
      </rPr>
      <t>Contratação de menor aprendiz: de 01 a 05/08 de todo o ano entrar no site http://www.processoseletivoaprendizagem.mg.senac.br/Empresa/Reserva/Consultar.aspx?token=zujATYLbJPiMjhqW2yvsKsMW%2BKSB9qIh e fazer a reserva de vagas de menor aprendiz para a empresa.Feito isso acompanhar o cronograma liberado pelo sena para seguir o passo a passo da entrega da documentação.LOGIN : CNPJ senha 11151905.O SENAC costuma enviar e-mail informando o inicio das matriculas no site.Ficar atento!</t>
    </r>
  </si>
  <si>
    <r>
      <t xml:space="preserve"> - CNPJ 27829502000186 SENHA viaexpressa@123 – </t>
    </r>
    <r>
      <rPr>
        <sz val="10"/>
        <color rgb="FFFF0000"/>
        <rFont val="Calibri"/>
        <family val="2"/>
        <scheme val="minor"/>
      </rPr>
      <t>nenhum funcionário utilizando VT desde 12/2019.</t>
    </r>
    <r>
      <rPr>
        <sz val="10"/>
        <rFont val="Calibri"/>
        <family val="2"/>
        <scheme val="minor"/>
      </rPr>
      <t xml:space="preserve">
Tem plano de saúde, valores fixos altera apenas se tiver coparticipação. 
Adiantamento, apenas quando ele solicita.                                                                                                                                                                      KAIKE NÃO TERA MAIS PROLABORE A PARTIR DE ABR/2020 E RODRIGO NAO TERA EM ABR E EM MAIO DE 2020 APENAS</t>
    </r>
  </si>
  <si>
    <r>
      <t>Quebra de caixa de 10% para todos os funcionários. Comissão de 1 % sobre as vendas que ele manda  (ele passa mensalmente o valor das vendas e se o funcionário bateu meta)- Passa a aliquota para calculo calculo do bônus sobre as vendas .  2 VT's de segunda à sábado Maikon e Lorrana,Raphael desconta 6%. Login Astransp: 28441423000166  senha: 123456  -Gerar guia de inss sobre os royalts pagos ao flamengo-cód 2500 valor 5%sobre os recibos verificar no contabil.</t>
    </r>
    <r>
      <rPr>
        <sz val="10"/>
        <color rgb="FFFF0000"/>
        <rFont val="Calibri"/>
        <family val="2"/>
        <scheme val="minor"/>
      </rPr>
      <t xml:space="preserve">(CNPJ do Flamengo - ver guia anterior.)  </t>
    </r>
    <r>
      <rPr>
        <sz val="10"/>
        <rFont val="Calibri"/>
        <family val="2"/>
        <scheme val="minor"/>
      </rPr>
      <t xml:space="preserve">- Adicional de 25% de subgerencia - Maikon  SOCIOS TEM PLANO DE SAUDE FIXO 2.204,51 aumento anual ficar de olho Claudio e Sonja 836,36 cada e Carolina 287,85 Artur 243,94                                                                                                               </t>
    </r>
  </si>
  <si>
    <r>
      <t>Todos tem valetransporte seg a sab login:29936178000120 senha 12345 tem adiantamento ( As funcionarias Ana Carolina e Gabriela vt de seg a sexta) o Restante de seg a sab.</t>
    </r>
    <r>
      <rPr>
        <sz val="10"/>
        <color rgb="FFFF0000"/>
        <rFont val="Calibri"/>
        <family val="2"/>
        <scheme val="minor"/>
      </rPr>
      <t>O FUNC. DOUGLAS ESTA COM SALÁRIO MENOR POIS ESTA FAZENDO HORÁRIO MENOR O MSM ESTA CIENTE QUE DIMINUIR O SALÁRIO É ERRADO E FEZ UMA CARTA DE PROPRIO PUNHO.</t>
    </r>
  </si>
  <si>
    <r>
      <t>Todos tem valetransporte seg a SEXTA  login: 29930464000189 senha suavjf  tem adiantamento O FUNC.</t>
    </r>
    <r>
      <rPr>
        <sz val="10"/>
        <color rgb="FFFF0000"/>
        <rFont val="Calibri"/>
        <family val="2"/>
        <scheme val="minor"/>
      </rPr>
      <t>O FUNC. DOUGLAS ESTA RECEBENDO SALÁRIO MENOR POR ISSO GANHA MENOS.( A funcionaria Thamires fez uma carta solictando que não quer mais adiantamento).A func, Lorena não teve seu reajuste salarial conforme convenção a pedido de Necélio.Esta documentado no site.</t>
    </r>
  </si>
  <si>
    <r>
      <t xml:space="preserve">Doméstica tem 3 vt por dia de seg a sexta,gerar boleto na astransp senha:12345 login:01379922623 ,todo mês e desconta vt 6% VAI PAGAR TODO MÊS A FUNCIONÁRIA 1.400,00 LIQUIDO a funcionária tem </t>
    </r>
    <r>
      <rPr>
        <b/>
        <u/>
        <sz val="10"/>
        <color rgb="FFFF0000"/>
        <rFont val="Calibri"/>
        <family val="2"/>
        <scheme val="minor"/>
      </rPr>
      <t>bilhete único.</t>
    </r>
  </si>
  <si>
    <r>
      <t>NA PASSAGEM DO MANUAL INFORMOU QUE O PRO LABORE SERIA DE 2.800,00 NÃO TEM PLANO DE SAUDE,PEDIU PARA FAZER TRANSFERENCIA DA JESSICA PARA FILIAL COM DATA DE MARÇO.POIS JÁ ERA PARA TER SIDO FEITA.E COMENTOU QUE TEM COMISSÕES. VERIFICAR FECHAMENTO TEL MATHEUS 98816-0256 tel camila whats 984535421</t>
    </r>
    <r>
      <rPr>
        <sz val="10"/>
        <color rgb="FFFF0000"/>
        <rFont val="Calibri"/>
        <family val="2"/>
        <scheme val="minor"/>
      </rPr>
      <t xml:space="preserve"> Laise faz 05 horas por dia de seg a sab</t>
    </r>
  </si>
  <si>
    <r>
      <t xml:space="preserve">GERAMOS BOLETO DE VT DE  2 SEG A SABADO E DESCONTA EM FOLHA 6% - login: 11479949000132 senha: 12345  as funcionárias tem </t>
    </r>
    <r>
      <rPr>
        <sz val="10"/>
        <color rgb="FFFF0000"/>
        <rFont val="Calibri"/>
        <family val="2"/>
        <scheme val="minor"/>
      </rPr>
      <t>comissão</t>
    </r>
    <r>
      <rPr>
        <sz val="10"/>
        <rFont val="Calibri"/>
        <family val="2"/>
        <scheme val="minor"/>
      </rPr>
      <t xml:space="preserve"> e deve ser cobrado na Nathalia consultora da casinha.</t>
    </r>
  </si>
  <si>
    <r>
      <t>RECARGA DE VT TEM UM RELATORIO QUE É FEITO E ENVIAMOS A QUATIDADE PARA ASSINAR P:\documentos\OneDrive - Novus Contabilidade\NOVO DOC COMPARTILHADO\Pessoal\Relatórios Sefip\Solplastic\2019  NA PASTA   VT E DESCONTADO EM FOLHA 6% (CARLOS ADRIANO,DOUGLAS COSME,DOUGLAS SANTOS E WILLUAN TRABLHAM DE 2ª A 5ª FEIRA)OS OUTROS DE 2ª A 6ª NORMAL. SIDNEY TEM PENSAO ALIMENTICIA DESCONTAR 20% SOBRE O LIQUIDO  SOBRE FERIAS E RESCISÕES E 40% multa. FUNCIONARIOS QUE TRABALHAM A NOITE TEM ADICIONAL NOTURNO. TEM PLANO DE SAUDE E ODONTOLOGICO.TODOS FUNCIONARIOS TEM UMA GRATIFICAÇÃO  FIXA QUE ABATE FALTAS CASO FALTEM.TODOS TEM INSALUBRIDADE.(</t>
    </r>
    <r>
      <rPr>
        <sz val="10"/>
        <color rgb="FFFF0000"/>
        <rFont val="Calibri"/>
        <family val="2"/>
        <scheme val="minor"/>
      </rPr>
      <t>OS FUNCIONARIOS DA NOITE  TEM UM ACORDO DE GANHAR UMA HORA EXTRA POR DIA DE TRABALHO(CARLOS ADRIANO ,DOUGLAS COSME E WILLIAN)</t>
    </r>
    <r>
      <rPr>
        <sz val="10"/>
        <rFont val="Calibri"/>
        <family val="2"/>
        <scheme val="minor"/>
      </rPr>
      <t xml:space="preserve"> Tem adiantamento e é fixo(ATENTAR NAS FERIAS) O ACORDO DA NOITE FOI CANCELADO A PARTIR DE NOVEMBRO POIS ESTÃO FAZENDO BANCO DE HORAS.                                                                                                                                  (A PARTIR DA COMPETENCIA 02/2020  A INSALUBRIDADE PASSOU A SER UMA PREMIAÇÃO,DEVIDO O FATO DO LAUDO LTCAT NÃO DISCRIMAR O LOCAL COMO INSALUBRE, JA TINHAMOS FALADO SOBRE ESTA TROCA DE NOME OU INCORPORAR NO SALARIO).</t>
    </r>
  </si>
  <si>
    <r>
      <t xml:space="preserve">• GERAR A GRRF PELA MATRIZ - CNPJ 08.012.258/0001-10 - R SÃO  MATEUS, 930 - JF - CEP 36.025-000.
• LIGAR PRA SABER SE TEVE HE, FALTAS, E (TAXA DA GORJETA 10% E TAXA DELIVERY (TX 10% E DELIVERY NÃO PAGA FGTS E INSS)
• VERIFICAR SE TEVE FERIADO - LANÇAR A 100% - COD 419 - E QUAL FUNCIONARIO TRABALHOU - HE 8 HR POR DIA
• LANÇAR ADD NOTURNO 20% - CÓD 110 - 2º A 5º  - 2:30 HRS ADICIONAL NOTURNO (POR NOITE) E 6º E SAB 3:30 HR DE ADICIONAL NOTURNO (POR NOITE)
Adicional nortuno fixo. Horas extras não tem
Lucas Augusto e Antônio Carlos tem cargo de confiança R$ 180,00
</t>
    </r>
    <r>
      <rPr>
        <b/>
        <sz val="10"/>
        <rFont val="Calibri"/>
        <family val="2"/>
        <scheme val="minor"/>
      </rPr>
      <t>obs: FUNCIONÁRIOS EM PERÍODO DE EXPERIÊNCIA PAGA-SE SALÁRIO DE INGRESSO CONFORME CONVENÇÃO</t>
    </r>
  </si>
  <si>
    <r>
      <t>Vale Transporte : 02 VT de</t>
    </r>
    <r>
      <rPr>
        <sz val="10"/>
        <color rgb="FFFF0000"/>
        <rFont val="Calibri"/>
        <family val="2"/>
        <scheme val="minor"/>
      </rPr>
      <t xml:space="preserve"> seg a sexta </t>
    </r>
    <r>
      <rPr>
        <sz val="10"/>
        <rFont val="Calibri"/>
        <family val="2"/>
        <scheme val="minor"/>
      </rPr>
      <t>- Passa faltas - Entregar até o dia 30 CNPJ 21104245000210 SENHA 12345 - FUNCIONARIO ROBERT TEM PENSÃO 20% (sobre o liquido nas férias inclui sobre 1/3 e no decimo terceiro)</t>
    </r>
  </si>
  <si>
    <r>
      <t xml:space="preserve">• MENSALMENTE PASSA VALOR DA COMISSÃO DOS FUNCIONÁRIOS NO MOMENTO EMPRESA ESTA SEM FUNCIONARIO. </t>
    </r>
    <r>
      <rPr>
        <sz val="10"/>
        <color rgb="FFFF0000"/>
        <rFont val="Calibri"/>
        <family val="2"/>
        <scheme val="minor"/>
      </rPr>
      <t xml:space="preserve">SEMPRE ENTREGAR JUNTO COM A FILIAL 01 QUE ESTÁ COM A IASKARA
</t>
    </r>
    <r>
      <rPr>
        <sz val="10"/>
        <rFont val="Calibri"/>
        <family val="2"/>
        <scheme val="minor"/>
      </rPr>
      <t xml:space="preserve">• FAZER BOLETO DA ASTRANSP - CNPJ 21104245000309 - SENHA 12345 - 2º A SEXTA( Gerar boleto para a func. Ester) - 2 POR DIA - ENVIAR JUNTO HISTORICO DO PEDIDO
• FAZER PRO LABORE DO IRAN  </t>
    </r>
  </si>
  <si>
    <r>
      <t xml:space="preserve">Folha e Pro labore (   )        IR (  )
INSS (   )
FGTS e GFIP (   )      ISSQN (      )
Tx negocial uma vez no ano (ver CCT) passa fechamento de folha
Tem Plano de saúde. </t>
    </r>
    <r>
      <rPr>
        <sz val="9"/>
        <color rgb="FFFF0000"/>
        <rFont val="Arial"/>
        <family val="2"/>
      </rPr>
      <t>Paga 1º dia util</t>
    </r>
  </si>
  <si>
    <t>Adiantamento (   ) até dia 15 - 
Folha e Pro labore (   )
INSS (   )   IRRF (  )
FGTS e GFIP (   ) 
Tem insalubridade ,só o administrativo que não tem. Vale  Transporte (  ) Até dia 30.</t>
  </si>
  <si>
    <t xml:space="preserve">(  ) Folha e Pro-labore                                                                                                              (   ) GPS                                                                                                                                                    (   ) FGTS e GFIP                  (   ) IRRF                                                                                                                                            </t>
  </si>
  <si>
    <t>Pro labore (   )   Recibo mensal  (    )
INSS (   ) Adiantamento (      )
GFIP - Tem retenção na nota (   )    (   ) Folha Analitica    (     )  Sefip  (     ) Caged   VT (     )</t>
  </si>
  <si>
    <t>Pro labore (   )     INSS  ROYALT (     )
INSS (   )
GFIP (   )                  VT  (   )</t>
  </si>
  <si>
    <r>
      <t>(  ) Folha e Pro-labore                                                                                                              (   ) GPS                             INSS ROYALT (     )</t>
    </r>
    <r>
      <rPr>
        <b/>
        <sz val="9"/>
        <color rgb="FFFF0000"/>
        <rFont val="Arial"/>
        <family val="2"/>
      </rPr>
      <t xml:space="preserve"> </t>
    </r>
    <r>
      <rPr>
        <sz val="9"/>
        <color rgb="FFFF0000"/>
        <rFont val="Arial"/>
        <family val="2"/>
      </rPr>
      <t xml:space="preserve">  </t>
    </r>
    <r>
      <rPr>
        <sz val="9"/>
        <rFont val="Arial"/>
        <family val="2"/>
      </rPr>
      <t xml:space="preserve">                                                                                                                            (   ) FGTS e GFIP                IRRF (   )                                                                                                             (    ) Vale transporte                          *Passa comissão, bônus, falta e adiantamento.</t>
    </r>
  </si>
  <si>
    <t>Folha e Pro labore (   )                                
INSS (   )             
GFIP (  )
IRRF (    )</t>
  </si>
  <si>
    <t xml:space="preserve">Folha e Pro labore (   )                                
INSS (   )
GFIP (  )        Adiantamento (     )     tem horas noturnas </t>
  </si>
  <si>
    <t>VAI BAIXAR</t>
  </si>
  <si>
    <t xml:space="preserve">  </t>
  </si>
  <si>
    <t>FRAN</t>
  </si>
  <si>
    <t>ASTRANSP LOGIN: 59899913715 SENHA: 123456 / 4 vt de seg a sexta</t>
  </si>
  <si>
    <r>
      <t xml:space="preserve">Recibo e-social (   )                                                                                                             Guia e-social (   )                                                                                                                            FOLHA DE PONTO (  )                                                                                            3VT DE SEG A SEXTA (  )   Login 01379922623 senha 12345                                                                                      </t>
    </r>
    <r>
      <rPr>
        <b/>
        <sz val="9"/>
        <color rgb="FFFF0000"/>
        <rFont val="Arial"/>
        <family val="2"/>
      </rPr>
      <t>Fechar em R$1400,00 liquido  - BILHETE UNICO - TEM PARTICULARIDADES - NÃO GERAR VT DURANTE A PANDEMIA</t>
    </r>
  </si>
  <si>
    <t>DIOGO ALCANTARA SANTOS</t>
  </si>
  <si>
    <r>
      <t>É PRESUMIDO TEM DESC. DE VT EM FOLHA E GERAMOS BOLETO, A FRANC. PASSA QUANTIDADE DE VALE TRANSPORTE. Login: 17525444000143 senha:12345 geramos boleto para as funcionárias( Josiane  E LILIAN ( 4 vt DE SEG A SEXTA))</t>
    </r>
    <r>
      <rPr>
        <sz val="10"/>
        <color rgb="FFFF0000"/>
        <rFont val="Calibri"/>
        <family val="2"/>
      </rPr>
      <t>A FUNC. JOSIANE TEM PLANO DE QUE ESTA DIV DE 3 VEZES JÁ ESTA LANÇADO NO SISTEMA VAI ATÉ O MÊS 4/2020.</t>
    </r>
  </si>
  <si>
    <t xml:space="preserve">MINAS PRAIA </t>
  </si>
  <si>
    <r>
      <t xml:space="preserve">Pro labore (   )            </t>
    </r>
    <r>
      <rPr>
        <b/>
        <sz val="9"/>
        <rFont val="Arial"/>
        <family val="2"/>
      </rPr>
      <t xml:space="preserve">Passar s/m em junho/2020 </t>
    </r>
    <r>
      <rPr>
        <sz val="9"/>
        <rFont val="Arial"/>
        <family val="2"/>
      </rPr>
      <t xml:space="preserve">
INSS (   )
GFIP (   )  (  ) IRFF                                     </t>
    </r>
  </si>
  <si>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05:00)APLICAR O VALOR *1.142857 (OU SEJA 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UM.Mes de abril,maio e junho suspensão alguns  funcionarios estão optando sem vt temporario verificar com ela.</t>
  </si>
  <si>
    <t>Folha e Pro labore (   )                               paralizar atividades
INSS (   )
GFIP (  )
verificar faturamento anexo IV (sara**) - Fator R</t>
  </si>
  <si>
    <r>
      <t>Pro labore (   )      Mês 05 ultimo vez que vai emitir PL , mês 06 colocar S/M
INSS (   )
GFIP (   )</t>
    </r>
    <r>
      <rPr>
        <sz val="9"/>
        <color rgb="FFFF0000"/>
        <rFont val="Arial"/>
        <family val="2"/>
      </rPr>
      <t xml:space="preserve"> </t>
    </r>
  </si>
  <si>
    <t xml:space="preserve">Pro labore (   )
INSS (   )   MÊS 05 GERAR S/M 
GFIP (   )   </t>
  </si>
  <si>
    <t>ARIELE DUTRA</t>
  </si>
  <si>
    <t>Folha                        mei
ESTAGIARIO</t>
  </si>
  <si>
    <t>Pro labore (   )  
INSS (   )
GFIP (   )           MEI INICIO 01.2020 VERIFICAR NF NO SETOR FISCAL</t>
  </si>
  <si>
    <t>Recibo e-social (   )                                     Guia e-social (   )  ULTIMO MÊS 05/2020</t>
  </si>
  <si>
    <r>
      <t xml:space="preserve">MEI s/m 08.2019  </t>
    </r>
    <r>
      <rPr>
        <b/>
        <sz val="9"/>
        <color rgb="FFFF0000"/>
        <rFont val="Arial"/>
        <family val="2"/>
      </rPr>
      <t>SAIU 05/2020</t>
    </r>
    <r>
      <rPr>
        <sz val="9"/>
        <rFont val="Arial"/>
        <family val="2"/>
      </rPr>
      <t xml:space="preserve">
</t>
    </r>
  </si>
  <si>
    <r>
      <t>ASTRANSP - LOGIN - 07801908000143 SENHA 32151651 FUNCIONÁRIOS COM VT</t>
    </r>
    <r>
      <rPr>
        <sz val="10"/>
        <color rgb="FFFF0000"/>
        <rFont val="Calibri"/>
        <family val="2"/>
        <scheme val="minor"/>
      </rPr>
      <t xml:space="preserve"> LEONARDO - 1 POR DIA ( vt DO LEONARDO DESCONTA O VALOR DA RECARGA),  ROBERTO 2 POR DIA, ROMERITO 2 POR DIA, OZEAS 2 POR DIA luiggi 2vt por dia </t>
    </r>
    <r>
      <rPr>
        <sz val="10"/>
        <color rgb="FF444444"/>
        <rFont val="Calibri"/>
        <family val="2"/>
        <scheme val="minor"/>
      </rPr>
      <t xml:space="preserve"> /TEM ADIANTAMENTO DE 30%(PARA DIA 15)/ EMPRESA TEM PLANO DE SAÚDE - DESCONTA 20% DA MENSALIDADE INCLUSIVE DOS DEPENDENTES E O VALOR DA COPARTICIPAÇÃO DESCONTA </t>
    </r>
    <r>
      <rPr>
        <sz val="10"/>
        <color rgb="FFFF0000"/>
        <rFont val="Calibri"/>
        <family val="2"/>
        <scheme val="minor"/>
      </rPr>
      <t>apenas 50% a partir de 05/2019</t>
    </r>
    <r>
      <rPr>
        <sz val="10"/>
        <color rgb="FF444444"/>
        <rFont val="Calibri"/>
        <family val="2"/>
        <scheme val="minor"/>
      </rPr>
      <t>/ PLANO ODODNTOLOGICO NÃO DESCONTA/ALELO 325,00 POR MES - ELES FAZEM RECARGA/INSCRITA NO PAT/TEM UMA PESSOA RESPONSÁVEL POR CONTROLE DE EPIS/ LEONARDO - PENSÃO DE 20% SOBRE O SALÁRIO LIQUIDO, TEM RETENÇÃO DE INSS SOBRE AS NOTAS FISCAIS QUE DEVEM SER COMPENSADAS NA GFIP, O CONTROLE DE RETENÇÃO ESTÁ EM: P:\documentos\OneDrive - Novus Contabilidade\Doc Compartilhado\Escritório\CH Vidon\PROCESSOS CH VIDON\PROCESSOS DE INSS\COMPENSAÇÃO DE RETENÇÃO NFSE  ( COMPENSAR APENAS O VALOR DA GUIA, O VALOR RESTANTE SERÁ PEDIDO PERD COMP PELO CONTABIL)(JANAINA VAI CONFIRMAR SE OS VALORES A COMPENSAR QUE VIERÃO DO OUTRO CONTADOR ESTÃO CORRETOS E SE ESSES VALORES PODEM SER COMPENSADOS EM OUTROS IMPOSTOS ALÉM DO INSS.)</t>
    </r>
    <r>
      <rPr>
        <sz val="10"/>
        <color rgb="FFFF0000"/>
        <rFont val="Calibri"/>
        <family val="2"/>
        <scheme val="minor"/>
      </rPr>
      <t xml:space="preserve"> A cada 5 anos de casa reajustar em 5 %. Não incide inss no 1/3 de férias, funcionários são alocados nos serviços pedir a Ana a planilha de alocação.</t>
    </r>
    <r>
      <rPr>
        <sz val="10"/>
        <rFont val="Calibri"/>
        <family val="2"/>
        <scheme val="minor"/>
      </rPr>
      <t>ALGUNS FUNCIONARIOS ESTÃO COM PARCELAMENTO ATÉ MARCO DO PLANO DE SAUDE.NÃO FAZ EXAME DE TROCA DE FUNÇÃO DEVIDO NR,SÓ SE TIVER OUTROS RISCOS.</t>
    </r>
  </si>
  <si>
    <t>Paralisada - vai voltar a movimentar 05/2020 (conferir)</t>
  </si>
  <si>
    <t>32.513.416/0001-08</t>
  </si>
  <si>
    <t xml:space="preserve">Pro labore (   )  
INSS (   )
GFIP (   )                 Inicio 12/2019  </t>
  </si>
  <si>
    <r>
      <t>Pro labore (   )
INSS (   )
GFIP (   )</t>
    </r>
    <r>
      <rPr>
        <sz val="9"/>
        <color rgb="FFFF0000"/>
        <rFont val="Arial"/>
        <family val="2"/>
      </rPr>
      <t xml:space="preserve">         </t>
    </r>
    <r>
      <rPr>
        <sz val="9"/>
        <rFont val="Arial"/>
        <family val="2"/>
      </rPr>
      <t xml:space="preserve">(    )  IRRF                                       </t>
    </r>
    <r>
      <rPr>
        <b/>
        <sz val="9"/>
        <color rgb="FFFF0000"/>
        <rFont val="Arial"/>
        <family val="2"/>
      </rPr>
      <t xml:space="preserve"> BLOQUEADA </t>
    </r>
    <r>
      <rPr>
        <sz val="9"/>
        <color rgb="FFFF0000"/>
        <rFont val="Arial"/>
        <family val="2"/>
      </rPr>
      <t xml:space="preserve">    </t>
    </r>
    <r>
      <rPr>
        <sz val="9"/>
        <rFont val="Arial"/>
        <family val="2"/>
      </rPr>
      <t xml:space="preserve">                                                                </t>
    </r>
  </si>
  <si>
    <r>
      <t xml:space="preserve">Pro labore (   )
INSS (   )
GFIP (   )                                              </t>
    </r>
    <r>
      <rPr>
        <b/>
        <sz val="9"/>
        <color rgb="FFFF0000"/>
        <rFont val="Arial"/>
        <family val="2"/>
      </rPr>
      <t xml:space="preserve">BLOQUEADA </t>
    </r>
  </si>
  <si>
    <r>
      <t xml:space="preserve">Pro labore (   )
INSS (   ) 
GFIP (   )                                                                  </t>
    </r>
    <r>
      <rPr>
        <b/>
        <sz val="9"/>
        <color rgb="FFFF0000"/>
        <rFont val="Arial"/>
        <family val="2"/>
      </rPr>
      <t>BLOQUEADA</t>
    </r>
    <r>
      <rPr>
        <sz val="9"/>
        <rFont val="Arial"/>
        <family val="2"/>
      </rPr>
      <t xml:space="preserve">                         </t>
    </r>
  </si>
  <si>
    <r>
      <t xml:space="preserve">Pro labore (   )  
INSS (   )
GFIP (   )           INICIO 12.2019 S/M                           </t>
    </r>
    <r>
      <rPr>
        <b/>
        <sz val="9"/>
        <color rgb="FFFF0000"/>
        <rFont val="Arial"/>
        <family val="2"/>
      </rPr>
      <t>BLOQUEADA</t>
    </r>
    <r>
      <rPr>
        <sz val="9"/>
        <rFont val="Arial"/>
        <family val="2"/>
      </rPr>
      <t xml:space="preserve"> </t>
    </r>
  </si>
  <si>
    <r>
      <t xml:space="preserve">Pro labore (   )
INSS (   ) 
GFIP (   )                                                   </t>
    </r>
    <r>
      <rPr>
        <b/>
        <sz val="9"/>
        <color rgb="FFFF0000"/>
        <rFont val="Arial"/>
        <family val="2"/>
      </rPr>
      <t xml:space="preserve"> BLOQUEADA </t>
    </r>
  </si>
  <si>
    <r>
      <t xml:space="preserve">Pro labore (   )
INSS (   )
GFIP (   )     (  ) IRRF                                  </t>
    </r>
    <r>
      <rPr>
        <b/>
        <sz val="9"/>
        <color rgb="FFFF0000"/>
        <rFont val="Arial"/>
        <family val="2"/>
      </rPr>
      <t>BLOQUEADA</t>
    </r>
    <r>
      <rPr>
        <sz val="9"/>
        <rFont val="Arial"/>
        <family val="2"/>
      </rPr>
      <t xml:space="preserve"> </t>
    </r>
  </si>
  <si>
    <r>
      <t xml:space="preserve">Pro labore (   )
INSS (   )
GFIP (   )                                            </t>
    </r>
    <r>
      <rPr>
        <b/>
        <sz val="9"/>
        <color rgb="FFFF0000"/>
        <rFont val="Arial"/>
        <family val="2"/>
      </rPr>
      <t>BLOQUEADA</t>
    </r>
    <r>
      <rPr>
        <sz val="9"/>
        <rFont val="Arial"/>
        <family val="2"/>
      </rPr>
      <t xml:space="preserve"> </t>
    </r>
  </si>
  <si>
    <r>
      <t>Pro labore (   )
INSS (   ) lançar codigo 202 - plano de saude
GFIP (   )</t>
    </r>
    <r>
      <rPr>
        <sz val="9"/>
        <color rgb="FFFF0000"/>
        <rFont val="Arial"/>
        <family val="2"/>
      </rPr>
      <t xml:space="preserve"> Tem Plano de saude.Login nas particularidades   </t>
    </r>
    <r>
      <rPr>
        <b/>
        <sz val="9"/>
        <color rgb="FFFF0000"/>
        <rFont val="Arial"/>
        <family val="2"/>
      </rPr>
      <t>BLOQUEADA</t>
    </r>
    <r>
      <rPr>
        <sz val="9"/>
        <color rgb="FFFF0000"/>
        <rFont val="Arial"/>
        <family val="2"/>
      </rPr>
      <t xml:space="preserve"> </t>
    </r>
  </si>
  <si>
    <r>
      <t xml:space="preserve">Pro labore (   )
INSS (   )
GFIP (   )                                    </t>
    </r>
    <r>
      <rPr>
        <b/>
        <sz val="9"/>
        <color rgb="FFFF0000"/>
        <rFont val="Arial"/>
        <family val="2"/>
      </rPr>
      <t>BLOQUEADA</t>
    </r>
    <r>
      <rPr>
        <sz val="9"/>
        <rFont val="Arial"/>
        <family val="2"/>
      </rPr>
      <t xml:space="preserve"> </t>
    </r>
  </si>
  <si>
    <r>
      <t>Pro labore (   )
INSS (   )
GFIP (   )</t>
    </r>
    <r>
      <rPr>
        <sz val="9"/>
        <color rgb="FFFF0000"/>
        <rFont val="Arial"/>
        <family val="2"/>
      </rPr>
      <t xml:space="preserve">                                    </t>
    </r>
    <r>
      <rPr>
        <b/>
        <sz val="9"/>
        <color rgb="FFFF0000"/>
        <rFont val="Arial"/>
        <family val="2"/>
      </rPr>
      <t>BLOQUEADA</t>
    </r>
    <r>
      <rPr>
        <sz val="9"/>
        <color rgb="FFFF0000"/>
        <rFont val="Arial"/>
        <family val="2"/>
      </rPr>
      <t xml:space="preserve"> </t>
    </r>
  </si>
  <si>
    <r>
      <t xml:space="preserve">SOLICITAR OS VALORES DO PLANO DE SAÚDE  </t>
    </r>
    <r>
      <rPr>
        <b/>
        <sz val="9"/>
        <color rgb="FFFF0000"/>
        <rFont val="Arial"/>
        <family val="2"/>
      </rPr>
      <t xml:space="preserve">AGUARDANDO PLANO </t>
    </r>
  </si>
  <si>
    <r>
      <t xml:space="preserve">
Folha e Pro labore (   )
INSS (   ) </t>
    </r>
    <r>
      <rPr>
        <sz val="9"/>
        <color rgb="FFFF0000"/>
        <rFont val="Arial"/>
        <family val="2"/>
      </rPr>
      <t>SAIU 04.2020</t>
    </r>
    <r>
      <rPr>
        <sz val="9"/>
        <rFont val="Arial"/>
        <family val="2"/>
      </rPr>
      <t xml:space="preserve">
FGTS e GFIP (   )
Vale Transporte (   )
Recibo Astransp (   )
Tem alimentação postar relação; Add tempo de serviço; e entregar a folha até 27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</si>
</sst>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50" x14ac:knownFonts="1">
    <font>
      <sz val="11"/>
      <color theme="1"/>
      <name val="Calibri"/>
      <family val="2"/>
      <scheme val="minor"/>
    </font>
    <font>
      <sz val="8"/>
      <name val="Calibri"/>
      <family val="2"/>
      <scheme val="minor"/>
    </font>
    <font>
      <sz val="10"/>
      <name val="Calibri"/>
      <family val="2"/>
      <scheme val="minor"/>
    </font>
    <font>
      <i/>
      <sz val="10"/>
      <name val="Calibri"/>
      <family val="2"/>
      <scheme val="minor"/>
    </font>
    <font>
      <sz val="11"/>
      <name val="Calibri"/>
      <family val="2"/>
      <scheme val="minor"/>
    </font>
    <font>
      <sz val="10"/>
      <color rgb="FF263238"/>
      <name val="Arial"/>
      <family val="2"/>
    </font>
    <font>
      <u/>
      <sz val="10"/>
      <color theme="10"/>
      <name val="Arial"/>
      <family val="2"/>
    </font>
    <font>
      <b/>
      <sz val="10"/>
      <name val="Calibri"/>
      <family val="2"/>
      <scheme val="minor"/>
    </font>
    <font>
      <sz val="10"/>
      <color rgb="FFFF0000"/>
      <name val="Calibri"/>
      <family val="2"/>
      <scheme val="minor"/>
    </font>
    <font>
      <sz val="8"/>
      <color rgb="FFFF0000"/>
      <name val="Calibri"/>
      <family val="2"/>
      <scheme val="minor"/>
    </font>
    <font>
      <b/>
      <sz val="10"/>
      <color rgb="FFFF0000"/>
      <name val="Calibri"/>
      <family val="2"/>
      <scheme val="minor"/>
    </font>
    <font>
      <b/>
      <sz val="10"/>
      <name val="Arial"/>
      <family val="2"/>
    </font>
    <font>
      <sz val="11"/>
      <name val="Arial"/>
      <family val="2"/>
    </font>
    <font>
      <sz val="10"/>
      <color rgb="FF263238"/>
      <name val="Calibri"/>
      <family val="2"/>
      <scheme val="minor"/>
    </font>
    <font>
      <b/>
      <u/>
      <sz val="10"/>
      <color rgb="FFFF0000"/>
      <name val="Calibri"/>
      <family val="2"/>
      <scheme val="minor"/>
    </font>
    <font>
      <u/>
      <sz val="11"/>
      <color theme="1"/>
      <name val="Calibri"/>
      <family val="2"/>
      <scheme val="minor"/>
    </font>
    <font>
      <sz val="9"/>
      <name val="Arial"/>
      <family val="2"/>
    </font>
    <font>
      <sz val="9"/>
      <color theme="1"/>
      <name val="Arial"/>
      <family val="2"/>
    </font>
    <font>
      <b/>
      <sz val="9"/>
      <name val="Arial"/>
      <family val="2"/>
    </font>
    <font>
      <u/>
      <sz val="9"/>
      <color theme="10"/>
      <name val="Arial"/>
      <family val="2"/>
    </font>
    <font>
      <sz val="9"/>
      <color rgb="FFFF0000"/>
      <name val="Arial"/>
      <family val="2"/>
    </font>
    <font>
      <b/>
      <sz val="9"/>
      <color rgb="FFFF0000"/>
      <name val="Arial"/>
      <family val="2"/>
    </font>
    <font>
      <b/>
      <sz val="9"/>
      <color theme="1"/>
      <name val="Arial"/>
      <family val="2"/>
    </font>
    <font>
      <sz val="9"/>
      <color rgb="FF263238"/>
      <name val="Arial"/>
      <family val="2"/>
    </font>
    <font>
      <i/>
      <sz val="9"/>
      <name val="Arial"/>
      <family val="2"/>
    </font>
    <font>
      <sz val="8"/>
      <name val="Calibri"/>
      <family val="2"/>
      <scheme val="minor"/>
    </font>
    <font>
      <sz val="10"/>
      <name val="Arial"/>
      <family val="2"/>
    </font>
    <font>
      <u/>
      <sz val="9"/>
      <color theme="4" tint="-0.249977111117893"/>
      <name val="Arial"/>
      <family val="2"/>
    </font>
    <font>
      <sz val="9"/>
      <color theme="4" tint="-0.249977111117893"/>
      <name val="Arial"/>
      <family val="2"/>
    </font>
    <font>
      <sz val="10"/>
      <color theme="1"/>
      <name val="Calibri"/>
      <family val="2"/>
      <scheme val="minor"/>
    </font>
    <font>
      <sz val="9"/>
      <color rgb="FF7030A0"/>
      <name val="Arial"/>
      <family val="2"/>
    </font>
    <font>
      <sz val="9"/>
      <color indexed="8"/>
      <name val="Arial"/>
      <family val="2"/>
    </font>
    <font>
      <sz val="9"/>
      <color rgb="FF00B0F0"/>
      <name val="Arial"/>
      <family val="2"/>
    </font>
    <font>
      <sz val="9"/>
      <name val="Arial"/>
      <family val="2"/>
    </font>
    <font>
      <b/>
      <sz val="9"/>
      <name val="Arial"/>
      <family val="2"/>
    </font>
    <font>
      <b/>
      <sz val="9"/>
      <color theme="10"/>
      <name val="Calibri"/>
      <family val="2"/>
      <scheme val="minor"/>
    </font>
    <font>
      <sz val="9"/>
      <color theme="10"/>
      <name val="Arial"/>
      <family val="2"/>
    </font>
    <font>
      <sz val="9"/>
      <name val="Arial"/>
    </font>
    <font>
      <b/>
      <sz val="10"/>
      <color indexed="10"/>
      <name val="Calibri"/>
      <family val="2"/>
      <scheme val="minor"/>
    </font>
    <font>
      <sz val="10"/>
      <color indexed="8"/>
      <name val="Calibri"/>
      <family val="2"/>
      <scheme val="minor"/>
    </font>
    <font>
      <sz val="10"/>
      <color indexed="10"/>
      <name val="Calibri"/>
      <family val="2"/>
      <scheme val="minor"/>
    </font>
    <font>
      <b/>
      <sz val="10"/>
      <color indexed="62"/>
      <name val="Calibri"/>
      <family val="2"/>
      <scheme val="minor"/>
    </font>
    <font>
      <b/>
      <u/>
      <sz val="10"/>
      <color indexed="62"/>
      <name val="Calibri"/>
      <family val="2"/>
      <scheme val="minor"/>
    </font>
    <font>
      <sz val="10"/>
      <color indexed="62"/>
      <name val="Calibri"/>
      <family val="2"/>
      <scheme val="minor"/>
    </font>
    <font>
      <sz val="10"/>
      <color rgb="FF444444"/>
      <name val="Calibri"/>
      <family val="2"/>
      <scheme val="minor"/>
    </font>
    <font>
      <b/>
      <sz val="9"/>
      <color theme="4"/>
      <name val="Calibri"/>
      <family val="2"/>
      <scheme val="minor"/>
    </font>
    <font>
      <b/>
      <sz val="9"/>
      <color theme="4"/>
      <name val="Arial"/>
      <family val="2"/>
    </font>
    <font>
      <b/>
      <u/>
      <sz val="9"/>
      <color theme="4"/>
      <name val="Arial"/>
      <family val="2"/>
    </font>
    <font>
      <sz val="10"/>
      <color rgb="FFFF0000"/>
      <name val="Calibri"/>
      <family val="2"/>
    </font>
    <font>
      <b/>
      <sz val="9"/>
      <name val="Arial"/>
    </font>
  </fonts>
  <fills count="1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rgb="FFCC3399"/>
        <bgColor indexed="64"/>
      </patternFill>
    </fill>
    <fill>
      <patternFill patternType="solid">
        <fgColor rgb="FF00B050"/>
        <bgColor indexed="64"/>
      </patternFill>
    </fill>
    <fill>
      <patternFill patternType="solid">
        <fgColor rgb="FF00B0F0"/>
        <bgColor indexed="64"/>
      </patternFill>
    </fill>
    <fill>
      <patternFill patternType="solid">
        <fgColor rgb="FFFF0000"/>
        <bgColor indexed="64"/>
      </patternFill>
    </fill>
    <fill>
      <patternFill patternType="solid">
        <fgColor indexed="9"/>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bgColor indexed="64"/>
      </patternFill>
    </fill>
    <fill>
      <patternFill patternType="solid">
        <fgColor rgb="FFD60093"/>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alignment vertical="top"/>
      <protection locked="0"/>
    </xf>
  </cellStyleXfs>
  <cellXfs count="205">
    <xf numFmtId="0" fontId="0" fillId="0" borderId="0" xfId="0"/>
    <xf numFmtId="0" fontId="2" fillId="0" borderId="3"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2" fillId="0" borderId="3" xfId="0" applyFont="1" applyFill="1" applyBorder="1" applyAlignment="1" applyProtection="1">
      <alignment horizontal="center" vertical="center" wrapText="1"/>
      <protection locked="0"/>
    </xf>
    <xf numFmtId="0" fontId="2" fillId="2" borderId="3" xfId="0" applyFont="1" applyFill="1" applyBorder="1" applyAlignment="1">
      <alignment horizontal="center" vertical="center" wrapText="1"/>
    </xf>
    <xf numFmtId="0" fontId="2" fillId="2" borderId="3" xfId="0" applyFont="1" applyFill="1" applyBorder="1" applyAlignment="1">
      <alignment horizontal="left" vertical="center" wrapText="1"/>
    </xf>
    <xf numFmtId="0" fontId="5" fillId="0" borderId="0" xfId="0" applyFont="1"/>
    <xf numFmtId="0" fontId="2" fillId="0" borderId="3" xfId="0" applyFont="1" applyFill="1" applyBorder="1" applyAlignment="1">
      <alignment horizontal="left" vertical="center" wrapText="1"/>
    </xf>
    <xf numFmtId="0" fontId="2" fillId="0" borderId="3" xfId="0" applyFont="1" applyBorder="1" applyAlignment="1">
      <alignment horizontal="left" vertical="center" wrapText="1"/>
    </xf>
    <xf numFmtId="0" fontId="7" fillId="0" borderId="3" xfId="0" applyFont="1" applyBorder="1" applyAlignment="1">
      <alignment horizontal="center" vertical="center"/>
    </xf>
    <xf numFmtId="0" fontId="7" fillId="0" borderId="3" xfId="0" applyFont="1" applyBorder="1" applyAlignment="1">
      <alignment horizontal="left" vertical="center"/>
    </xf>
    <xf numFmtId="0" fontId="2" fillId="0" borderId="3" xfId="0" applyFont="1" applyBorder="1" applyAlignment="1">
      <alignment vertical="center" wrapText="1"/>
    </xf>
    <xf numFmtId="0" fontId="8" fillId="0" borderId="3" xfId="0" applyFont="1" applyBorder="1" applyAlignment="1">
      <alignment vertical="center" wrapText="1"/>
    </xf>
    <xf numFmtId="0" fontId="2" fillId="0" borderId="3" xfId="0" applyFont="1" applyBorder="1" applyAlignment="1">
      <alignment vertical="top" wrapText="1"/>
    </xf>
    <xf numFmtId="0" fontId="10" fillId="0" borderId="3" xfId="0" applyFont="1" applyBorder="1" applyAlignment="1">
      <alignment vertical="center" wrapText="1"/>
    </xf>
    <xf numFmtId="0" fontId="2" fillId="2" borderId="3" xfId="0" applyFont="1" applyFill="1" applyBorder="1" applyAlignment="1">
      <alignment horizontal="center" vertical="top" wrapText="1"/>
    </xf>
    <xf numFmtId="0" fontId="13" fillId="0" borderId="3" xfId="0" applyFont="1" applyFill="1" applyBorder="1" applyAlignment="1">
      <alignment vertical="top" wrapText="1"/>
    </xf>
    <xf numFmtId="0" fontId="2" fillId="0" borderId="3" xfId="0" applyFont="1" applyFill="1" applyBorder="1" applyAlignment="1" applyProtection="1">
      <alignment horizontal="left" vertical="center" wrapText="1"/>
      <protection locked="0"/>
    </xf>
    <xf numFmtId="0" fontId="2" fillId="0" borderId="3" xfId="0" applyFont="1" applyFill="1" applyBorder="1" applyAlignment="1" applyProtection="1">
      <alignment horizontal="center" vertical="center" wrapText="1"/>
    </xf>
    <xf numFmtId="0" fontId="2" fillId="0" borderId="3" xfId="0" applyFont="1" applyFill="1" applyBorder="1" applyAlignment="1" applyProtection="1">
      <alignment horizontal="left" vertical="center" wrapText="1"/>
    </xf>
    <xf numFmtId="0" fontId="2" fillId="0" borderId="3" xfId="0" applyFont="1" applyFill="1" applyBorder="1" applyAlignment="1">
      <alignment vertical="center" wrapText="1"/>
    </xf>
    <xf numFmtId="0" fontId="8" fillId="0" borderId="3" xfId="0"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3" xfId="0" applyNumberFormat="1" applyFont="1" applyFill="1" applyBorder="1" applyAlignment="1">
      <alignment horizontal="center" vertical="center" wrapText="1"/>
    </xf>
    <xf numFmtId="0" fontId="11" fillId="0" borderId="3" xfId="0" applyFont="1" applyBorder="1"/>
    <xf numFmtId="0" fontId="11" fillId="0" borderId="3" xfId="0" applyFont="1" applyBorder="1" applyAlignment="1">
      <alignment horizontal="center"/>
    </xf>
    <xf numFmtId="0" fontId="4" fillId="0" borderId="3" xfId="0" applyFont="1" applyBorder="1"/>
    <xf numFmtId="0" fontId="4" fillId="0" borderId="3" xfId="0" applyFont="1" applyBorder="1" applyAlignment="1">
      <alignment horizontal="center"/>
    </xf>
    <xf numFmtId="0" fontId="12" fillId="0" borderId="3" xfId="0" applyFont="1" applyBorder="1" applyAlignment="1">
      <alignment horizontal="center"/>
    </xf>
    <xf numFmtId="0" fontId="0" fillId="0" borderId="0" xfId="0" applyAlignment="1">
      <alignment horizontal="center"/>
    </xf>
    <xf numFmtId="0" fontId="0" fillId="0" borderId="0" xfId="0" applyFill="1" applyBorder="1"/>
    <xf numFmtId="0" fontId="1" fillId="0" borderId="0" xfId="0" applyFont="1" applyFill="1" applyBorder="1" applyAlignment="1">
      <alignment horizontal="center" vertical="center" wrapText="1"/>
    </xf>
    <xf numFmtId="43" fontId="1" fillId="0" borderId="0" xfId="0" applyNumberFormat="1" applyFont="1" applyFill="1" applyBorder="1" applyAlignment="1">
      <alignment horizontal="center" vertical="center" wrapText="1"/>
    </xf>
    <xf numFmtId="43" fontId="1" fillId="0" borderId="0" xfId="0" applyNumberFormat="1" applyFont="1" applyFill="1" applyBorder="1" applyAlignment="1" applyProtection="1">
      <alignment horizontal="center" vertical="center" wrapText="1"/>
      <protection locked="0"/>
    </xf>
    <xf numFmtId="0" fontId="1" fillId="0" borderId="0" xfId="0" applyFont="1" applyFill="1" applyBorder="1" applyAlignment="1">
      <alignment horizontal="center" vertical="center"/>
    </xf>
    <xf numFmtId="0" fontId="15" fillId="0" borderId="0" xfId="0" applyFont="1"/>
    <xf numFmtId="0" fontId="16" fillId="2" borderId="3" xfId="0" applyFont="1" applyFill="1" applyBorder="1" applyAlignment="1">
      <alignment horizontal="center" vertical="center" wrapText="1"/>
    </xf>
    <xf numFmtId="0" fontId="16" fillId="0" borderId="3" xfId="0" applyFont="1" applyFill="1" applyBorder="1" applyAlignment="1">
      <alignment horizontal="center" vertical="center" wrapText="1"/>
    </xf>
    <xf numFmtId="0" fontId="16" fillId="3" borderId="3" xfId="0" applyFont="1" applyFill="1" applyBorder="1" applyAlignment="1">
      <alignment horizontal="center" vertical="center" wrapText="1"/>
    </xf>
    <xf numFmtId="0" fontId="16" fillId="0" borderId="3" xfId="0" applyFont="1" applyFill="1" applyBorder="1" applyAlignment="1" applyProtection="1">
      <alignment horizontal="center" vertical="center" wrapText="1"/>
      <protection locked="0"/>
    </xf>
    <xf numFmtId="0" fontId="16" fillId="2" borderId="3" xfId="0" applyFont="1" applyFill="1" applyBorder="1" applyAlignment="1" applyProtection="1">
      <alignment horizontal="center" vertical="center" wrapText="1"/>
      <protection locked="0"/>
    </xf>
    <xf numFmtId="0" fontId="16" fillId="2" borderId="1" xfId="0" applyFont="1" applyFill="1" applyBorder="1" applyAlignment="1">
      <alignment horizontal="center" vertical="center" wrapText="1"/>
    </xf>
    <xf numFmtId="0" fontId="16" fillId="3" borderId="3" xfId="0" applyFont="1" applyFill="1" applyBorder="1" applyAlignment="1">
      <alignment horizontal="center" vertical="center"/>
    </xf>
    <xf numFmtId="0" fontId="16" fillId="0" borderId="3" xfId="0" applyFont="1" applyFill="1" applyBorder="1" applyAlignment="1">
      <alignment horizontal="center" vertical="center"/>
    </xf>
    <xf numFmtId="0" fontId="16" fillId="2" borderId="3" xfId="0" applyFont="1" applyFill="1" applyBorder="1" applyAlignment="1">
      <alignment horizontal="center" vertical="center"/>
    </xf>
    <xf numFmtId="0" fontId="17" fillId="3" borderId="3" xfId="0" applyFont="1" applyFill="1" applyBorder="1" applyAlignment="1">
      <alignment horizontal="center" vertical="center"/>
    </xf>
    <xf numFmtId="0" fontId="18" fillId="2" borderId="2" xfId="0" applyFont="1" applyFill="1" applyBorder="1" applyAlignment="1">
      <alignment horizontal="left" vertical="center" wrapText="1"/>
    </xf>
    <xf numFmtId="0" fontId="18" fillId="2" borderId="3" xfId="0" applyFont="1" applyFill="1" applyBorder="1" applyAlignment="1">
      <alignment horizontal="left" vertical="center" wrapText="1"/>
    </xf>
    <xf numFmtId="0" fontId="17" fillId="0" borderId="0" xfId="0" applyFont="1"/>
    <xf numFmtId="0" fontId="16" fillId="2" borderId="3" xfId="0" applyFont="1" applyFill="1" applyBorder="1" applyAlignment="1">
      <alignment horizontal="left" vertical="center" wrapText="1"/>
    </xf>
    <xf numFmtId="0" fontId="19" fillId="0" borderId="6" xfId="1" applyFont="1" applyBorder="1" applyAlignment="1" applyProtection="1">
      <alignment horizontal="center" vertical="center"/>
    </xf>
    <xf numFmtId="0" fontId="19" fillId="0" borderId="3" xfId="1" applyFont="1" applyBorder="1" applyAlignment="1" applyProtection="1">
      <alignment horizontal="center" vertical="center"/>
    </xf>
    <xf numFmtId="0" fontId="19" fillId="0" borderId="2" xfId="1" applyFont="1" applyBorder="1" applyAlignment="1" applyProtection="1">
      <alignment horizontal="center" vertical="center"/>
    </xf>
    <xf numFmtId="0" fontId="18" fillId="13" borderId="2" xfId="0" applyFont="1" applyFill="1" applyBorder="1" applyAlignment="1">
      <alignment horizontal="center" vertical="center" wrapText="1"/>
    </xf>
    <xf numFmtId="0" fontId="16" fillId="2" borderId="3" xfId="0" applyFont="1" applyFill="1" applyBorder="1" applyAlignment="1">
      <alignment horizontal="center" vertical="center" wrapText="1" shrinkToFit="1"/>
    </xf>
    <xf numFmtId="0" fontId="16" fillId="10" borderId="3" xfId="0" applyFont="1" applyFill="1" applyBorder="1" applyAlignment="1">
      <alignment horizontal="center" vertical="center" wrapText="1" shrinkToFit="1"/>
    </xf>
    <xf numFmtId="0" fontId="16" fillId="0" borderId="3" xfId="0" applyFont="1" applyFill="1" applyBorder="1" applyAlignment="1">
      <alignment horizontal="left" vertical="center" wrapText="1"/>
    </xf>
    <xf numFmtId="0" fontId="16" fillId="0" borderId="3" xfId="0" applyFont="1" applyFill="1" applyBorder="1" applyAlignment="1">
      <alignment horizontal="center" vertical="center" wrapText="1" shrinkToFit="1"/>
    </xf>
    <xf numFmtId="0" fontId="16" fillId="2" borderId="3" xfId="0" applyFont="1" applyFill="1" applyBorder="1" applyAlignment="1">
      <alignment horizontal="left" vertical="top" wrapText="1"/>
    </xf>
    <xf numFmtId="0" fontId="16" fillId="6" borderId="3" xfId="0" applyFont="1" applyFill="1" applyBorder="1" applyAlignment="1">
      <alignment horizontal="center" vertical="center" wrapText="1" shrinkToFit="1"/>
    </xf>
    <xf numFmtId="0" fontId="16" fillId="0" borderId="3" xfId="0" applyFont="1" applyFill="1" applyBorder="1" applyAlignment="1">
      <alignment vertical="center" wrapText="1"/>
    </xf>
    <xf numFmtId="0" fontId="18" fillId="2" borderId="3" xfId="0" applyFont="1" applyFill="1" applyBorder="1" applyAlignment="1">
      <alignment horizontal="center" vertical="center" wrapText="1" shrinkToFit="1"/>
    </xf>
    <xf numFmtId="0" fontId="18" fillId="6" borderId="3" xfId="0" applyFont="1" applyFill="1" applyBorder="1" applyAlignment="1">
      <alignment horizontal="center" vertical="center" wrapText="1" shrinkToFit="1"/>
    </xf>
    <xf numFmtId="0" fontId="16" fillId="11" borderId="3" xfId="0" applyFont="1" applyFill="1" applyBorder="1" applyAlignment="1">
      <alignment horizontal="center" vertical="center" wrapText="1" shrinkToFit="1"/>
    </xf>
    <xf numFmtId="0" fontId="19" fillId="0" borderId="3" xfId="1" applyFont="1" applyFill="1" applyBorder="1" applyAlignment="1" applyProtection="1">
      <alignment horizontal="center" vertical="center" wrapText="1" shrinkToFit="1"/>
    </xf>
    <xf numFmtId="0" fontId="16" fillId="2" borderId="3" xfId="1" applyFont="1" applyFill="1" applyBorder="1" applyAlignment="1" applyProtection="1">
      <alignment horizontal="center" vertical="center" wrapText="1" shrinkToFit="1"/>
    </xf>
    <xf numFmtId="0" fontId="16" fillId="3" borderId="3" xfId="0" applyFont="1" applyFill="1" applyBorder="1" applyAlignment="1">
      <alignment horizontal="left" vertical="center" wrapText="1"/>
    </xf>
    <xf numFmtId="0" fontId="16" fillId="3" borderId="3" xfId="0" applyFont="1" applyFill="1" applyBorder="1" applyAlignment="1">
      <alignment horizontal="center" vertical="center" wrapText="1" shrinkToFit="1"/>
    </xf>
    <xf numFmtId="0" fontId="16" fillId="2" borderId="3" xfId="0" applyFont="1" applyFill="1" applyBorder="1" applyAlignment="1">
      <alignment vertical="center" wrapText="1"/>
    </xf>
    <xf numFmtId="0" fontId="16" fillId="0" borderId="3" xfId="0" applyFont="1" applyBorder="1" applyAlignment="1">
      <alignment horizontal="center" vertical="center" wrapText="1" shrinkToFit="1"/>
    </xf>
    <xf numFmtId="0" fontId="16" fillId="0" borderId="3" xfId="0" applyFont="1" applyBorder="1" applyAlignment="1">
      <alignment horizontal="left" vertical="center" wrapText="1"/>
    </xf>
    <xf numFmtId="0" fontId="18" fillId="12" borderId="3" xfId="0" applyFont="1" applyFill="1" applyBorder="1" applyAlignment="1">
      <alignment horizontal="center" vertical="center" wrapText="1" shrinkToFit="1"/>
    </xf>
    <xf numFmtId="0" fontId="16" fillId="0" borderId="3" xfId="0" applyFont="1" applyBorder="1" applyAlignment="1">
      <alignment vertical="center" wrapText="1"/>
    </xf>
    <xf numFmtId="0" fontId="17" fillId="0" borderId="3" xfId="0" applyFont="1" applyBorder="1" applyAlignment="1">
      <alignment horizontal="center" vertical="center"/>
    </xf>
    <xf numFmtId="0" fontId="17" fillId="3" borderId="3" xfId="0" applyFont="1" applyFill="1" applyBorder="1" applyAlignment="1">
      <alignment horizontal="left" vertical="center" wrapText="1"/>
    </xf>
    <xf numFmtId="0" fontId="17" fillId="3" borderId="3" xfId="0" applyFont="1" applyFill="1" applyBorder="1" applyAlignment="1">
      <alignment horizontal="center" vertical="center" wrapText="1" shrinkToFit="1"/>
    </xf>
    <xf numFmtId="0" fontId="17" fillId="2" borderId="3" xfId="0" applyFont="1" applyFill="1" applyBorder="1" applyAlignment="1">
      <alignment horizontal="center" vertical="center" wrapText="1"/>
    </xf>
    <xf numFmtId="0" fontId="17" fillId="0" borderId="3" xfId="0" applyFont="1" applyBorder="1" applyAlignment="1">
      <alignment horizontal="center" vertical="center" wrapText="1"/>
    </xf>
    <xf numFmtId="0" fontId="17" fillId="0" borderId="3" xfId="0" applyFont="1" applyBorder="1" applyAlignment="1">
      <alignment wrapText="1"/>
    </xf>
    <xf numFmtId="0" fontId="17" fillId="3" borderId="3" xfId="0" applyFont="1" applyFill="1" applyBorder="1"/>
    <xf numFmtId="0" fontId="17" fillId="2" borderId="3" xfId="0" applyFont="1" applyFill="1" applyBorder="1" applyAlignment="1">
      <alignment horizontal="center" vertical="center"/>
    </xf>
    <xf numFmtId="0" fontId="20" fillId="3" borderId="3" xfId="0" applyFont="1" applyFill="1" applyBorder="1" applyAlignment="1">
      <alignment horizontal="left" vertical="center" wrapText="1"/>
    </xf>
    <xf numFmtId="0" fontId="17" fillId="0" borderId="3" xfId="0" applyFont="1" applyBorder="1" applyAlignment="1">
      <alignment horizontal="center" wrapText="1"/>
    </xf>
    <xf numFmtId="0" fontId="20" fillId="0" borderId="3" xfId="0" applyFont="1" applyFill="1" applyBorder="1" applyAlignment="1">
      <alignment horizontal="center" vertical="center" wrapText="1" shrinkToFit="1"/>
    </xf>
    <xf numFmtId="0" fontId="16" fillId="0" borderId="3" xfId="0" applyNumberFormat="1" applyFont="1" applyFill="1" applyBorder="1" applyAlignment="1">
      <alignment horizontal="center" vertical="center" wrapText="1"/>
    </xf>
    <xf numFmtId="0" fontId="16" fillId="0" borderId="3" xfId="0" applyFont="1" applyBorder="1" applyAlignment="1">
      <alignment horizontal="center" vertical="center"/>
    </xf>
    <xf numFmtId="0" fontId="16" fillId="0" borderId="0" xfId="0" applyFont="1" applyAlignment="1">
      <alignment horizontal="center" vertical="center"/>
    </xf>
    <xf numFmtId="0" fontId="17" fillId="0" borderId="0" xfId="0" applyFont="1" applyAlignment="1">
      <alignment horizontal="center" vertical="center"/>
    </xf>
    <xf numFmtId="0" fontId="16" fillId="0" borderId="3" xfId="0" applyFont="1" applyBorder="1" applyAlignment="1" applyProtection="1">
      <alignment horizontal="center" vertical="center" wrapText="1"/>
      <protection locked="0"/>
    </xf>
    <xf numFmtId="0" fontId="24" fillId="0" borderId="3" xfId="0" applyFont="1" applyFill="1" applyBorder="1" applyAlignment="1">
      <alignment horizontal="center" vertical="center" wrapText="1"/>
    </xf>
    <xf numFmtId="0" fontId="25" fillId="0" borderId="3" xfId="0" applyFont="1" applyFill="1" applyBorder="1" applyAlignment="1">
      <alignment horizontal="center" vertical="center" wrapText="1"/>
    </xf>
    <xf numFmtId="0" fontId="25" fillId="0" borderId="3" xfId="0" applyFont="1" applyFill="1" applyBorder="1" applyAlignment="1" applyProtection="1">
      <alignment horizontal="center" vertical="center" wrapText="1"/>
    </xf>
    <xf numFmtId="0" fontId="2" fillId="0" borderId="3" xfId="0" quotePrefix="1" applyFont="1" applyBorder="1" applyAlignment="1">
      <alignment vertical="center" wrapText="1"/>
    </xf>
    <xf numFmtId="0" fontId="26" fillId="0" borderId="3" xfId="0" applyFont="1" applyBorder="1" applyAlignment="1">
      <alignment horizontal="center" vertical="center" wrapText="1"/>
    </xf>
    <xf numFmtId="0" fontId="26" fillId="0" borderId="3" xfId="0" applyFont="1" applyFill="1" applyBorder="1" applyAlignment="1">
      <alignment horizontal="center" vertical="center" wrapText="1"/>
    </xf>
    <xf numFmtId="0" fontId="26" fillId="0" borderId="3" xfId="0" applyFont="1" applyBorder="1" applyAlignment="1" applyProtection="1">
      <alignment horizontal="center" vertical="center" wrapText="1"/>
      <protection locked="0"/>
    </xf>
    <xf numFmtId="0" fontId="26" fillId="2" borderId="3" xfId="0" applyFont="1" applyFill="1" applyBorder="1" applyAlignment="1">
      <alignment horizontal="center" vertical="center" wrapText="1"/>
    </xf>
    <xf numFmtId="0" fontId="26" fillId="0" borderId="3" xfId="0" applyFont="1" applyBorder="1" applyAlignment="1">
      <alignment horizontal="center" vertical="center"/>
    </xf>
    <xf numFmtId="0" fontId="26" fillId="3" borderId="3" xfId="0" applyFont="1" applyFill="1" applyBorder="1" applyAlignment="1">
      <alignment horizontal="center" vertical="center"/>
    </xf>
    <xf numFmtId="0" fontId="26" fillId="2" borderId="3" xfId="0" applyFont="1" applyFill="1" applyBorder="1" applyAlignment="1">
      <alignment horizontal="center" vertical="center"/>
    </xf>
    <xf numFmtId="0" fontId="26" fillId="3" borderId="3" xfId="0" applyFont="1" applyFill="1" applyBorder="1" applyAlignment="1">
      <alignment horizontal="center" vertical="center" wrapText="1"/>
    </xf>
    <xf numFmtId="0" fontId="26" fillId="2" borderId="3" xfId="0" applyFont="1" applyFill="1" applyBorder="1" applyAlignment="1">
      <alignment horizontal="center" vertical="top" wrapText="1"/>
    </xf>
    <xf numFmtId="0" fontId="25" fillId="0" borderId="3" xfId="0" applyFont="1" applyBorder="1" applyAlignment="1" applyProtection="1">
      <alignment horizontal="center" vertical="center" wrapText="1"/>
    </xf>
    <xf numFmtId="0" fontId="25" fillId="0" borderId="3" xfId="0" applyFont="1" applyBorder="1" applyAlignment="1">
      <alignment horizontal="center" vertical="center" wrapText="1"/>
    </xf>
    <xf numFmtId="0" fontId="19" fillId="2" borderId="6" xfId="1" applyFont="1" applyFill="1" applyBorder="1" applyAlignment="1" applyProtection="1">
      <alignment horizontal="center" vertical="center"/>
    </xf>
    <xf numFmtId="0" fontId="19" fillId="2" borderId="3" xfId="1" applyFont="1" applyFill="1" applyBorder="1" applyAlignment="1" applyProtection="1">
      <alignment horizontal="center" vertical="center"/>
    </xf>
    <xf numFmtId="0" fontId="19" fillId="2" borderId="2" xfId="1" applyFont="1" applyFill="1" applyBorder="1" applyAlignment="1" applyProtection="1">
      <alignment horizontal="center" vertical="center"/>
    </xf>
    <xf numFmtId="0" fontId="17" fillId="2" borderId="0" xfId="0" applyFont="1" applyFill="1"/>
    <xf numFmtId="0" fontId="18" fillId="2" borderId="2"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9" fillId="0" borderId="3" xfId="0" applyFont="1" applyFill="1" applyBorder="1" applyAlignment="1">
      <alignment horizontal="center" vertical="center" wrapText="1"/>
    </xf>
    <xf numFmtId="0" fontId="16" fillId="4" borderId="3" xfId="0" applyFont="1" applyFill="1" applyBorder="1" applyAlignment="1" applyProtection="1">
      <alignment horizontal="center" vertical="center" wrapText="1"/>
      <protection locked="0"/>
    </xf>
    <xf numFmtId="0" fontId="17" fillId="3" borderId="3" xfId="0" applyFont="1" applyFill="1" applyBorder="1" applyAlignment="1">
      <alignment horizontal="center" vertical="center" wrapText="1"/>
    </xf>
    <xf numFmtId="0" fontId="23" fillId="0" borderId="3" xfId="0" applyFont="1" applyBorder="1" applyAlignment="1">
      <alignment horizontal="center" vertical="center" wrapText="1"/>
    </xf>
    <xf numFmtId="0" fontId="23" fillId="0" borderId="0" xfId="0" applyFont="1" applyAlignment="1">
      <alignment horizontal="center" vertical="center"/>
    </xf>
    <xf numFmtId="0" fontId="23" fillId="0" borderId="3" xfId="0" applyFont="1" applyBorder="1" applyAlignment="1">
      <alignment horizontal="center" vertical="center"/>
    </xf>
    <xf numFmtId="0" fontId="2" fillId="0" borderId="7" xfId="0" applyFont="1" applyBorder="1" applyAlignment="1">
      <alignment horizontal="center" vertical="center" wrapText="1"/>
    </xf>
    <xf numFmtId="0" fontId="2" fillId="0" borderId="0" xfId="0" applyFont="1" applyBorder="1" applyAlignment="1">
      <alignment horizontal="left" vertical="center" wrapText="1"/>
    </xf>
    <xf numFmtId="0" fontId="2" fillId="0" borderId="0" xfId="0" applyFont="1" applyBorder="1" applyAlignment="1">
      <alignment vertical="center" wrapText="1"/>
    </xf>
    <xf numFmtId="0" fontId="17" fillId="0" borderId="0" xfId="0" applyFont="1" applyAlignment="1">
      <alignment horizontal="center"/>
    </xf>
    <xf numFmtId="0" fontId="16" fillId="2" borderId="0" xfId="0" applyFont="1" applyFill="1" applyBorder="1" applyAlignment="1">
      <alignment horizontal="center" vertical="center" wrapText="1"/>
    </xf>
    <xf numFmtId="0" fontId="19" fillId="0" borderId="0" xfId="1" applyFont="1" applyBorder="1" applyAlignment="1" applyProtection="1">
      <alignment horizontal="center" vertical="center"/>
    </xf>
    <xf numFmtId="0" fontId="28" fillId="0" borderId="3" xfId="0" applyFont="1" applyBorder="1" applyAlignment="1">
      <alignment horizontal="center" vertical="center"/>
    </xf>
    <xf numFmtId="0" fontId="17" fillId="2" borderId="0" xfId="0" applyFont="1" applyFill="1" applyAlignment="1">
      <alignment horizontal="center"/>
    </xf>
    <xf numFmtId="0" fontId="16" fillId="14" borderId="3" xfId="0" applyFont="1" applyFill="1" applyBorder="1" applyAlignment="1">
      <alignment horizontal="center" vertical="center" wrapText="1" shrinkToFit="1"/>
    </xf>
    <xf numFmtId="0" fontId="17" fillId="14" borderId="3" xfId="0" applyFont="1" applyFill="1" applyBorder="1" applyAlignment="1">
      <alignment horizontal="center" vertical="center" wrapText="1"/>
    </xf>
    <xf numFmtId="0" fontId="16" fillId="5" borderId="3" xfId="0" applyFont="1" applyFill="1" applyBorder="1" applyAlignment="1">
      <alignment horizontal="center" vertical="center" wrapText="1"/>
    </xf>
    <xf numFmtId="0" fontId="18" fillId="2" borderId="3" xfId="0" applyFont="1" applyFill="1" applyBorder="1" applyAlignment="1">
      <alignment horizontal="center" vertical="center" wrapText="1"/>
    </xf>
    <xf numFmtId="14" fontId="17" fillId="0" borderId="0" xfId="0" applyNumberFormat="1" applyFont="1"/>
    <xf numFmtId="0" fontId="18" fillId="6" borderId="2" xfId="0" applyFont="1" applyFill="1" applyBorder="1" applyAlignment="1">
      <alignment horizontal="center" vertical="center" wrapText="1"/>
    </xf>
    <xf numFmtId="0" fontId="16" fillId="0" borderId="3" xfId="0" applyFont="1" applyBorder="1" applyAlignment="1">
      <alignment horizontal="center" vertical="center" wrapText="1"/>
    </xf>
    <xf numFmtId="0" fontId="17" fillId="0" borderId="3" xfId="0" applyFont="1" applyBorder="1" applyAlignment="1">
      <alignment horizontal="center"/>
    </xf>
    <xf numFmtId="0" fontId="16" fillId="0" borderId="3" xfId="0" applyFont="1" applyBorder="1"/>
    <xf numFmtId="0" fontId="16" fillId="7" borderId="3" xfId="0" applyFont="1" applyFill="1" applyBorder="1" applyAlignment="1">
      <alignment horizontal="center" vertical="center" wrapText="1"/>
    </xf>
    <xf numFmtId="0" fontId="18" fillId="0" borderId="2" xfId="0" applyFont="1" applyFill="1" applyBorder="1" applyAlignment="1">
      <alignment horizontal="center" vertical="center" wrapText="1"/>
    </xf>
    <xf numFmtId="0" fontId="16" fillId="4" borderId="3" xfId="0" applyFont="1" applyFill="1" applyBorder="1" applyAlignment="1">
      <alignment horizontal="center" vertical="center" wrapText="1"/>
    </xf>
    <xf numFmtId="0" fontId="18" fillId="14" borderId="3" xfId="0" applyFont="1" applyFill="1" applyBorder="1" applyAlignment="1">
      <alignment horizontal="center" vertical="center" wrapText="1" shrinkToFit="1"/>
    </xf>
    <xf numFmtId="0" fontId="18" fillId="5" borderId="2" xfId="0" applyFont="1" applyFill="1" applyBorder="1" applyAlignment="1">
      <alignment horizontal="center" vertical="center" wrapText="1"/>
    </xf>
    <xf numFmtId="0" fontId="16" fillId="0" borderId="3" xfId="0" applyFont="1" applyFill="1" applyBorder="1" applyAlignment="1">
      <alignment horizontal="left" vertical="top" wrapText="1"/>
    </xf>
    <xf numFmtId="0" fontId="18" fillId="8" borderId="2" xfId="0" applyFont="1" applyFill="1" applyBorder="1" applyAlignment="1">
      <alignment horizontal="center" vertical="center" wrapText="1"/>
    </xf>
    <xf numFmtId="0" fontId="16" fillId="9" borderId="3" xfId="0" applyFont="1" applyFill="1" applyBorder="1" applyAlignment="1">
      <alignment horizontal="center" vertical="center" wrapText="1" shrinkToFit="1"/>
    </xf>
    <xf numFmtId="0" fontId="16" fillId="7" borderId="2" xfId="0" applyFont="1" applyFill="1" applyBorder="1" applyAlignment="1">
      <alignment horizontal="center" vertical="center" wrapText="1"/>
    </xf>
    <xf numFmtId="0" fontId="18" fillId="0" borderId="3" xfId="0" applyFont="1" applyFill="1" applyBorder="1" applyAlignment="1">
      <alignment horizontal="center" vertical="center" wrapText="1"/>
    </xf>
    <xf numFmtId="0" fontId="16" fillId="5" borderId="2" xfId="0" applyFont="1" applyFill="1" applyBorder="1" applyAlignment="1">
      <alignment horizontal="center" vertical="center" wrapText="1"/>
    </xf>
    <xf numFmtId="14" fontId="16" fillId="0" borderId="3" xfId="0" applyNumberFormat="1" applyFont="1" applyFill="1" applyBorder="1" applyAlignment="1">
      <alignment horizontal="left" vertical="center" wrapText="1"/>
    </xf>
    <xf numFmtId="0" fontId="18" fillId="8" borderId="3" xfId="0" applyFont="1" applyFill="1" applyBorder="1" applyAlignment="1">
      <alignment horizontal="center" vertical="center" wrapText="1"/>
    </xf>
    <xf numFmtId="0" fontId="16" fillId="0" borderId="3" xfId="0" applyFont="1" applyFill="1" applyBorder="1" applyAlignment="1">
      <alignment horizontal="left" wrapText="1"/>
    </xf>
    <xf numFmtId="0" fontId="18" fillId="7" borderId="2" xfId="0" applyFont="1" applyFill="1" applyBorder="1" applyAlignment="1">
      <alignment horizontal="center" vertical="center" wrapText="1"/>
    </xf>
    <xf numFmtId="0" fontId="17" fillId="0" borderId="8" xfId="0" applyFont="1" applyBorder="1" applyAlignment="1">
      <alignment horizontal="center"/>
    </xf>
    <xf numFmtId="0" fontId="18" fillId="5" borderId="3" xfId="0" applyFont="1" applyFill="1" applyBorder="1" applyAlignment="1">
      <alignment horizontal="center" vertical="center" wrapText="1"/>
    </xf>
    <xf numFmtId="49" fontId="31" fillId="0" borderId="3" xfId="0" applyNumberFormat="1" applyFont="1" applyFill="1" applyBorder="1" applyAlignment="1">
      <alignment horizontal="center" vertical="center" wrapText="1"/>
    </xf>
    <xf numFmtId="0" fontId="16" fillId="0" borderId="2" xfId="0" applyFont="1" applyFill="1" applyBorder="1" applyAlignment="1">
      <alignment horizontal="center" vertical="center" wrapText="1"/>
    </xf>
    <xf numFmtId="0" fontId="27" fillId="0" borderId="0" xfId="0" applyFont="1" applyAlignment="1">
      <alignment horizontal="center" vertical="center"/>
    </xf>
    <xf numFmtId="0" fontId="16" fillId="8" borderId="3" xfId="0" applyFont="1" applyFill="1" applyBorder="1" applyAlignment="1">
      <alignment horizontal="center" vertical="center" wrapText="1"/>
    </xf>
    <xf numFmtId="0" fontId="17" fillId="2" borderId="3" xfId="0" applyFont="1" applyFill="1" applyBorder="1" applyAlignment="1">
      <alignment horizontal="left" vertical="center" wrapText="1"/>
    </xf>
    <xf numFmtId="0" fontId="17" fillId="2" borderId="3" xfId="0" applyFont="1" applyFill="1" applyBorder="1" applyAlignment="1">
      <alignment wrapText="1"/>
    </xf>
    <xf numFmtId="0" fontId="18" fillId="14" borderId="3" xfId="0" applyFont="1" applyFill="1" applyBorder="1" applyAlignment="1">
      <alignment horizontal="center" vertical="center" wrapText="1"/>
    </xf>
    <xf numFmtId="0" fontId="17" fillId="0" borderId="3" xfId="0" applyFont="1" applyBorder="1" applyAlignment="1">
      <alignment vertical="center" wrapText="1"/>
    </xf>
    <xf numFmtId="0" fontId="23" fillId="0" borderId="0" xfId="0" applyFont="1" applyAlignment="1">
      <alignment horizontal="center" vertical="center" wrapText="1"/>
    </xf>
    <xf numFmtId="0" fontId="16" fillId="2" borderId="2" xfId="0" applyFont="1" applyFill="1" applyBorder="1" applyAlignment="1">
      <alignment horizontal="center" vertical="center" wrapText="1"/>
    </xf>
    <xf numFmtId="0" fontId="23" fillId="0" borderId="4" xfId="0" applyFont="1" applyBorder="1" applyAlignment="1">
      <alignment horizontal="center" vertical="center"/>
    </xf>
    <xf numFmtId="0" fontId="23" fillId="0" borderId="5" xfId="0" applyFont="1" applyBorder="1" applyAlignment="1">
      <alignment horizontal="center" vertical="center" wrapText="1"/>
    </xf>
    <xf numFmtId="0" fontId="17" fillId="0" borderId="3" xfId="0" applyNumberFormat="1" applyFont="1" applyFill="1" applyBorder="1" applyAlignment="1" applyProtection="1">
      <alignment horizontal="center" vertical="center" wrapText="1"/>
    </xf>
    <xf numFmtId="0" fontId="23" fillId="0" borderId="4" xfId="0" applyFont="1" applyBorder="1" applyAlignment="1">
      <alignment horizontal="center" vertical="center" wrapText="1"/>
    </xf>
    <xf numFmtId="3" fontId="16" fillId="0" borderId="3" xfId="0" applyNumberFormat="1" applyFont="1" applyFill="1" applyBorder="1" applyAlignment="1">
      <alignment horizontal="left" vertical="center" wrapText="1"/>
    </xf>
    <xf numFmtId="0" fontId="17" fillId="0" borderId="3" xfId="0" applyFont="1" applyBorder="1" applyAlignment="1"/>
    <xf numFmtId="0" fontId="17" fillId="0" borderId="3" xfId="0" applyFont="1" applyBorder="1"/>
    <xf numFmtId="0" fontId="16" fillId="2" borderId="0" xfId="0" applyFont="1" applyFill="1" applyAlignment="1">
      <alignment horizontal="center" vertical="center"/>
    </xf>
    <xf numFmtId="0" fontId="16" fillId="2" borderId="0" xfId="0" applyFont="1" applyFill="1" applyAlignment="1">
      <alignment horizontal="center" vertical="center" wrapText="1"/>
    </xf>
    <xf numFmtId="0" fontId="17" fillId="0" borderId="0" xfId="0" applyFont="1" applyAlignment="1"/>
    <xf numFmtId="0" fontId="17" fillId="2" borderId="0" xfId="0" applyFont="1" applyFill="1" applyAlignment="1">
      <alignment horizontal="center" vertical="center"/>
    </xf>
    <xf numFmtId="0" fontId="17" fillId="0" borderId="0" xfId="0" applyFont="1" applyAlignment="1">
      <alignment vertical="center"/>
    </xf>
    <xf numFmtId="0" fontId="17" fillId="0" borderId="6" xfId="0" applyFont="1" applyBorder="1" applyAlignment="1">
      <alignment horizontal="center"/>
    </xf>
    <xf numFmtId="0" fontId="17" fillId="0" borderId="3" xfId="0" applyFont="1" applyBorder="1" applyAlignment="1">
      <alignment horizontal="center" vertical="top"/>
    </xf>
    <xf numFmtId="0" fontId="33" fillId="2" borderId="3" xfId="0" applyFont="1" applyFill="1" applyBorder="1" applyAlignment="1">
      <alignment horizontal="center" vertical="center" wrapText="1"/>
    </xf>
    <xf numFmtId="0" fontId="34" fillId="13" borderId="2" xfId="0" applyFont="1" applyFill="1" applyBorder="1" applyAlignment="1">
      <alignment horizontal="center" vertical="center" wrapText="1"/>
    </xf>
    <xf numFmtId="14" fontId="0" fillId="0" borderId="0" xfId="0" applyNumberFormat="1"/>
    <xf numFmtId="0" fontId="35" fillId="0" borderId="3" xfId="1" applyFont="1" applyBorder="1" applyAlignment="1" applyProtection="1">
      <alignment horizontal="center" vertical="center"/>
    </xf>
    <xf numFmtId="0" fontId="36" fillId="0" borderId="3" xfId="1" applyFont="1" applyBorder="1" applyAlignment="1" applyProtection="1">
      <alignment horizontal="left" vertical="center"/>
    </xf>
    <xf numFmtId="0" fontId="18" fillId="2" borderId="3" xfId="0" applyFont="1" applyFill="1" applyBorder="1" applyAlignment="1">
      <alignment horizontal="center" vertical="center" textRotation="90" wrapText="1"/>
    </xf>
    <xf numFmtId="0" fontId="17" fillId="0" borderId="2" xfId="0" applyFont="1" applyBorder="1" applyAlignment="1">
      <alignment horizontal="center"/>
    </xf>
    <xf numFmtId="16" fontId="17" fillId="0" borderId="0" xfId="0" applyNumberFormat="1" applyFont="1" applyAlignment="1">
      <alignment horizontal="center"/>
    </xf>
    <xf numFmtId="16" fontId="17" fillId="0" borderId="0" xfId="0" applyNumberFormat="1" applyFont="1"/>
    <xf numFmtId="17" fontId="16" fillId="0" borderId="3" xfId="0" applyNumberFormat="1" applyFont="1" applyFill="1" applyBorder="1" applyAlignment="1">
      <alignment vertical="center" wrapText="1"/>
    </xf>
    <xf numFmtId="0" fontId="37" fillId="2" borderId="3" xfId="0" applyFont="1" applyFill="1" applyBorder="1" applyAlignment="1">
      <alignment horizontal="center" vertical="center" wrapText="1"/>
    </xf>
    <xf numFmtId="0" fontId="44" fillId="0" borderId="3" xfId="0" applyFont="1" applyBorder="1" applyAlignment="1">
      <alignment horizontal="left" vertical="top" wrapText="1"/>
    </xf>
    <xf numFmtId="0" fontId="44" fillId="0" borderId="3" xfId="0" applyFont="1" applyBorder="1" applyAlignment="1">
      <alignment wrapText="1"/>
    </xf>
    <xf numFmtId="0" fontId="8" fillId="0" borderId="3" xfId="1" applyFont="1" applyBorder="1" applyAlignment="1" applyProtection="1">
      <alignment horizontal="left" vertical="top"/>
    </xf>
    <xf numFmtId="0" fontId="13" fillId="0" borderId="3" xfId="0" applyFont="1" applyFill="1" applyBorder="1" applyAlignment="1">
      <alignment horizontal="left" vertical="center"/>
    </xf>
    <xf numFmtId="0" fontId="29" fillId="0" borderId="0" xfId="0" applyFont="1"/>
    <xf numFmtId="0" fontId="2" fillId="3" borderId="3" xfId="0" applyFont="1" applyFill="1" applyBorder="1" applyAlignment="1">
      <alignment horizontal="left" vertical="center" wrapText="1"/>
    </xf>
    <xf numFmtId="0" fontId="2" fillId="2" borderId="3" xfId="0" applyFont="1" applyFill="1" applyBorder="1" applyAlignment="1" applyProtection="1">
      <alignment horizontal="left" vertical="center" wrapText="1"/>
      <protection locked="0"/>
    </xf>
    <xf numFmtId="14" fontId="29" fillId="0" borderId="0" xfId="0" applyNumberFormat="1" applyFont="1"/>
    <xf numFmtId="0" fontId="17" fillId="0" borderId="9" xfId="0" applyFont="1" applyBorder="1" applyAlignment="1">
      <alignment horizontal="center"/>
    </xf>
    <xf numFmtId="0" fontId="45" fillId="0" borderId="3" xfId="1" applyFont="1" applyBorder="1" applyAlignment="1" applyProtection="1">
      <alignment horizontal="center" vertical="center"/>
    </xf>
    <xf numFmtId="0" fontId="46" fillId="0" borderId="3" xfId="1" applyFont="1" applyBorder="1" applyAlignment="1" applyProtection="1">
      <alignment horizontal="left" vertical="center"/>
    </xf>
    <xf numFmtId="0" fontId="45" fillId="0" borderId="0" xfId="0" applyFont="1" applyAlignment="1">
      <alignment horizontal="center" vertical="center"/>
    </xf>
    <xf numFmtId="0" fontId="47" fillId="0" borderId="3" xfId="1" applyFont="1" applyBorder="1" applyAlignment="1" applyProtection="1">
      <alignment horizontal="center" vertical="center"/>
    </xf>
    <xf numFmtId="0" fontId="47" fillId="0" borderId="3" xfId="0" applyFont="1" applyBorder="1" applyAlignment="1">
      <alignment horizontal="center" vertical="center"/>
    </xf>
    <xf numFmtId="0" fontId="17" fillId="0" borderId="0" xfId="0" applyFont="1" applyBorder="1" applyAlignment="1">
      <alignment horizontal="center"/>
    </xf>
    <xf numFmtId="0" fontId="29" fillId="0" borderId="0" xfId="0" applyFont="1" applyAlignment="1">
      <alignment horizontal="center" vertical="center"/>
    </xf>
    <xf numFmtId="0" fontId="49" fillId="6" borderId="2" xfId="0" applyFont="1" applyFill="1" applyBorder="1" applyAlignment="1">
      <alignment horizontal="center" vertical="center" wrapText="1"/>
    </xf>
    <xf numFmtId="0" fontId="37" fillId="0" borderId="3" xfId="0" applyFont="1" applyBorder="1" applyAlignment="1">
      <alignment horizontal="center" vertical="center" wrapText="1" shrinkToFit="1"/>
    </xf>
    <xf numFmtId="14" fontId="17" fillId="0" borderId="0" xfId="0" applyNumberFormat="1" applyFont="1" applyAlignment="1">
      <alignment horizontal="center" vertical="center"/>
    </xf>
    <xf numFmtId="0" fontId="11" fillId="0" borderId="4" xfId="0" applyFont="1" applyBorder="1" applyAlignment="1">
      <alignment horizontal="center"/>
    </xf>
  </cellXfs>
  <cellStyles count="2">
    <cellStyle name="Hiperlink" xfId="1" builtinId="8"/>
    <cellStyle name="Normal" xfId="0" builtinId="0"/>
  </cellStyles>
  <dxfs count="0"/>
  <tableStyles count="0" defaultTableStyle="TableStyleMedium2" defaultPivotStyle="PivotStyleLight16"/>
  <colors>
    <mruColors>
      <color rgb="FFD600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usernames" Target="revisions/userNam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revisionHeaders" Target="revisions/revisionHeaders.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299" Type="http://schemas.openxmlformats.org/officeDocument/2006/relationships/revisionLog" Target="revisionLog277.xml"/><Relationship Id="rId303" Type="http://schemas.openxmlformats.org/officeDocument/2006/relationships/revisionLog" Target="revisionLog281.xml"/><Relationship Id="rId42" Type="http://schemas.openxmlformats.org/officeDocument/2006/relationships/revisionLog" Target="revisionLog42.xml"/><Relationship Id="rId63" Type="http://schemas.openxmlformats.org/officeDocument/2006/relationships/revisionLog" Target="revisionLog63.xml"/><Relationship Id="rId84" Type="http://schemas.openxmlformats.org/officeDocument/2006/relationships/revisionLog" Target="revisionLog84.xml"/><Relationship Id="rId138" Type="http://schemas.openxmlformats.org/officeDocument/2006/relationships/revisionLog" Target="revisionLog135.xml"/><Relationship Id="rId159" Type="http://schemas.openxmlformats.org/officeDocument/2006/relationships/revisionLog" Target="revisionLog4.xml"/><Relationship Id="rId324" Type="http://schemas.openxmlformats.org/officeDocument/2006/relationships/revisionLog" Target="revisionLog302.xml"/><Relationship Id="rId345" Type="http://schemas.openxmlformats.org/officeDocument/2006/relationships/revisionLog" Target="revisionLog323.xml"/><Relationship Id="rId366" Type="http://schemas.openxmlformats.org/officeDocument/2006/relationships/revisionLog" Target="revisionLog344.xml"/><Relationship Id="rId387" Type="http://schemas.openxmlformats.org/officeDocument/2006/relationships/revisionLog" Target="revisionLog365.xml"/><Relationship Id="rId170" Type="http://schemas.openxmlformats.org/officeDocument/2006/relationships/revisionLog" Target="revisionLog160.xml"/><Relationship Id="rId191" Type="http://schemas.openxmlformats.org/officeDocument/2006/relationships/revisionLog" Target="revisionLog21.xml"/><Relationship Id="rId205" Type="http://schemas.openxmlformats.org/officeDocument/2006/relationships/revisionLog" Target="revisionLog183.xml"/><Relationship Id="rId226" Type="http://schemas.openxmlformats.org/officeDocument/2006/relationships/revisionLog" Target="revisionLog204.xml"/><Relationship Id="rId247" Type="http://schemas.openxmlformats.org/officeDocument/2006/relationships/revisionLog" Target="revisionLog225.xml"/><Relationship Id="rId107" Type="http://schemas.openxmlformats.org/officeDocument/2006/relationships/revisionLog" Target="revisionLog107.xml"/><Relationship Id="rId268" Type="http://schemas.openxmlformats.org/officeDocument/2006/relationships/revisionLog" Target="revisionLog246.xml"/><Relationship Id="rId289" Type="http://schemas.openxmlformats.org/officeDocument/2006/relationships/revisionLog" Target="revisionLog267.xml"/><Relationship Id="rId149" Type="http://schemas.openxmlformats.org/officeDocument/2006/relationships/revisionLog" Target="revisionLog146.xml"/><Relationship Id="rId32" Type="http://schemas.openxmlformats.org/officeDocument/2006/relationships/revisionLog" Target="revisionLog32.xml"/><Relationship Id="rId53" Type="http://schemas.openxmlformats.org/officeDocument/2006/relationships/revisionLog" Target="revisionLog53.xml"/><Relationship Id="rId74" Type="http://schemas.openxmlformats.org/officeDocument/2006/relationships/revisionLog" Target="revisionLog74.xml"/><Relationship Id="rId128" Type="http://schemas.openxmlformats.org/officeDocument/2006/relationships/revisionLog" Target="revisionLog125.xml"/><Relationship Id="rId314" Type="http://schemas.openxmlformats.org/officeDocument/2006/relationships/revisionLog" Target="revisionLog292.xml"/><Relationship Id="rId335" Type="http://schemas.openxmlformats.org/officeDocument/2006/relationships/revisionLog" Target="revisionLog313.xml"/><Relationship Id="rId356" Type="http://schemas.openxmlformats.org/officeDocument/2006/relationships/revisionLog" Target="revisionLog334.xml"/><Relationship Id="rId377" Type="http://schemas.openxmlformats.org/officeDocument/2006/relationships/revisionLog" Target="revisionLog355.xml"/><Relationship Id="rId95" Type="http://schemas.openxmlformats.org/officeDocument/2006/relationships/revisionLog" Target="revisionLog95.xml"/><Relationship Id="rId160" Type="http://schemas.openxmlformats.org/officeDocument/2006/relationships/revisionLog" Target="revisionLog5.xml"/><Relationship Id="rId181" Type="http://schemas.openxmlformats.org/officeDocument/2006/relationships/revisionLog" Target="revisionLog11.xml"/><Relationship Id="rId216" Type="http://schemas.openxmlformats.org/officeDocument/2006/relationships/revisionLog" Target="revisionLog194.xml"/><Relationship Id="rId237" Type="http://schemas.openxmlformats.org/officeDocument/2006/relationships/revisionLog" Target="revisionLog215.xml"/><Relationship Id="rId258" Type="http://schemas.openxmlformats.org/officeDocument/2006/relationships/revisionLog" Target="revisionLog236.xml"/><Relationship Id="rId279" Type="http://schemas.openxmlformats.org/officeDocument/2006/relationships/revisionLog" Target="revisionLog257.xml"/><Relationship Id="rId139" Type="http://schemas.openxmlformats.org/officeDocument/2006/relationships/revisionLog" Target="revisionLog136.xml"/><Relationship Id="rId43" Type="http://schemas.openxmlformats.org/officeDocument/2006/relationships/revisionLog" Target="revisionLog43.xml"/><Relationship Id="rId64" Type="http://schemas.openxmlformats.org/officeDocument/2006/relationships/revisionLog" Target="revisionLog64.xml"/><Relationship Id="rId118" Type="http://schemas.openxmlformats.org/officeDocument/2006/relationships/revisionLog" Target="revisionLog118.xml"/><Relationship Id="rId290" Type="http://schemas.openxmlformats.org/officeDocument/2006/relationships/revisionLog" Target="revisionLog268.xml"/><Relationship Id="rId304" Type="http://schemas.openxmlformats.org/officeDocument/2006/relationships/revisionLog" Target="revisionLog282.xml"/><Relationship Id="rId325" Type="http://schemas.openxmlformats.org/officeDocument/2006/relationships/revisionLog" Target="revisionLog303.xml"/><Relationship Id="rId346" Type="http://schemas.openxmlformats.org/officeDocument/2006/relationships/revisionLog" Target="revisionLog324.xml"/><Relationship Id="rId367" Type="http://schemas.openxmlformats.org/officeDocument/2006/relationships/revisionLog" Target="revisionLog345.xml"/><Relationship Id="rId388" Type="http://schemas.openxmlformats.org/officeDocument/2006/relationships/revisionLog" Target="revisionLog366.xml"/><Relationship Id="rId85" Type="http://schemas.openxmlformats.org/officeDocument/2006/relationships/revisionLog" Target="revisionLog85.xml"/><Relationship Id="rId150" Type="http://schemas.openxmlformats.org/officeDocument/2006/relationships/revisionLog" Target="revisionLog147.xml"/><Relationship Id="rId171" Type="http://schemas.openxmlformats.org/officeDocument/2006/relationships/revisionLog" Target="revisionLog161.xml"/><Relationship Id="rId192" Type="http://schemas.openxmlformats.org/officeDocument/2006/relationships/revisionLog" Target="revisionLog22.xml"/><Relationship Id="rId206" Type="http://schemas.openxmlformats.org/officeDocument/2006/relationships/revisionLog" Target="revisionLog184.xml"/><Relationship Id="rId227" Type="http://schemas.openxmlformats.org/officeDocument/2006/relationships/revisionLog" Target="revisionLog205.xml"/><Relationship Id="rId248" Type="http://schemas.openxmlformats.org/officeDocument/2006/relationships/revisionLog" Target="revisionLog226.xml"/><Relationship Id="rId269" Type="http://schemas.openxmlformats.org/officeDocument/2006/relationships/revisionLog" Target="revisionLog247.xml"/><Relationship Id="rId129" Type="http://schemas.openxmlformats.org/officeDocument/2006/relationships/revisionLog" Target="revisionLog126.xml"/><Relationship Id="rId33" Type="http://schemas.openxmlformats.org/officeDocument/2006/relationships/revisionLog" Target="revisionLog33.xml"/><Relationship Id="rId108" Type="http://schemas.openxmlformats.org/officeDocument/2006/relationships/revisionLog" Target="revisionLog108.xml"/><Relationship Id="rId280" Type="http://schemas.openxmlformats.org/officeDocument/2006/relationships/revisionLog" Target="revisionLog258.xml"/><Relationship Id="rId315" Type="http://schemas.openxmlformats.org/officeDocument/2006/relationships/revisionLog" Target="revisionLog293.xml"/><Relationship Id="rId336" Type="http://schemas.openxmlformats.org/officeDocument/2006/relationships/revisionLog" Target="revisionLog314.xml"/><Relationship Id="rId357" Type="http://schemas.openxmlformats.org/officeDocument/2006/relationships/revisionLog" Target="revisionLog335.xml"/><Relationship Id="rId54" Type="http://schemas.openxmlformats.org/officeDocument/2006/relationships/revisionLog" Target="revisionLog54.xml"/><Relationship Id="rId75" Type="http://schemas.openxmlformats.org/officeDocument/2006/relationships/revisionLog" Target="revisionLog75.xml"/><Relationship Id="rId96" Type="http://schemas.openxmlformats.org/officeDocument/2006/relationships/revisionLog" Target="revisionLog96.xml"/><Relationship Id="rId140" Type="http://schemas.openxmlformats.org/officeDocument/2006/relationships/revisionLog" Target="revisionLog137.xml"/><Relationship Id="rId161" Type="http://schemas.openxmlformats.org/officeDocument/2006/relationships/revisionLog" Target="revisionLog6.xml"/><Relationship Id="rId182" Type="http://schemas.openxmlformats.org/officeDocument/2006/relationships/revisionLog" Target="revisionLog12.xml"/><Relationship Id="rId217" Type="http://schemas.openxmlformats.org/officeDocument/2006/relationships/revisionLog" Target="revisionLog195.xml"/><Relationship Id="rId378" Type="http://schemas.openxmlformats.org/officeDocument/2006/relationships/revisionLog" Target="revisionLog356.xml"/><Relationship Id="rId238" Type="http://schemas.openxmlformats.org/officeDocument/2006/relationships/revisionLog" Target="revisionLog216.xml"/><Relationship Id="rId259" Type="http://schemas.openxmlformats.org/officeDocument/2006/relationships/revisionLog" Target="revisionLog237.xml"/><Relationship Id="rId23" Type="http://schemas.openxmlformats.org/officeDocument/2006/relationships/revisionLog" Target="revisionLog23.xml"/><Relationship Id="rId119" Type="http://schemas.openxmlformats.org/officeDocument/2006/relationships/revisionLog" Target="revisionLog1.xml"/><Relationship Id="rId270" Type="http://schemas.openxmlformats.org/officeDocument/2006/relationships/revisionLog" Target="revisionLog248.xml"/><Relationship Id="rId291" Type="http://schemas.openxmlformats.org/officeDocument/2006/relationships/revisionLog" Target="revisionLog269.xml"/><Relationship Id="rId305" Type="http://schemas.openxmlformats.org/officeDocument/2006/relationships/revisionLog" Target="revisionLog283.xml"/><Relationship Id="rId326" Type="http://schemas.openxmlformats.org/officeDocument/2006/relationships/revisionLog" Target="revisionLog304.xml"/><Relationship Id="rId347" Type="http://schemas.openxmlformats.org/officeDocument/2006/relationships/revisionLog" Target="revisionLog325.xml"/><Relationship Id="rId44" Type="http://schemas.openxmlformats.org/officeDocument/2006/relationships/revisionLog" Target="revisionLog44.xml"/><Relationship Id="rId65" Type="http://schemas.openxmlformats.org/officeDocument/2006/relationships/revisionLog" Target="revisionLog65.xml"/><Relationship Id="rId86" Type="http://schemas.openxmlformats.org/officeDocument/2006/relationships/revisionLog" Target="revisionLog86.xml"/><Relationship Id="rId130" Type="http://schemas.openxmlformats.org/officeDocument/2006/relationships/revisionLog" Target="revisionLog127.xml"/><Relationship Id="rId151" Type="http://schemas.openxmlformats.org/officeDocument/2006/relationships/revisionLog" Target="revisionLog148.xml"/><Relationship Id="rId368" Type="http://schemas.openxmlformats.org/officeDocument/2006/relationships/revisionLog" Target="revisionLog346.xml"/><Relationship Id="rId389" Type="http://schemas.openxmlformats.org/officeDocument/2006/relationships/revisionLog" Target="revisionLog367.xml"/><Relationship Id="rId172" Type="http://schemas.openxmlformats.org/officeDocument/2006/relationships/revisionLog" Target="revisionLog162.xml"/><Relationship Id="rId193" Type="http://schemas.openxmlformats.org/officeDocument/2006/relationships/revisionLog" Target="revisionLog171.xml"/><Relationship Id="rId207" Type="http://schemas.openxmlformats.org/officeDocument/2006/relationships/revisionLog" Target="revisionLog185.xml"/><Relationship Id="rId228" Type="http://schemas.openxmlformats.org/officeDocument/2006/relationships/revisionLog" Target="revisionLog206.xml"/><Relationship Id="rId249" Type="http://schemas.openxmlformats.org/officeDocument/2006/relationships/revisionLog" Target="revisionLog227.xml"/><Relationship Id="rId109" Type="http://schemas.openxmlformats.org/officeDocument/2006/relationships/revisionLog" Target="revisionLog109.xml"/><Relationship Id="rId260" Type="http://schemas.openxmlformats.org/officeDocument/2006/relationships/revisionLog" Target="revisionLog238.xml"/><Relationship Id="rId281" Type="http://schemas.openxmlformats.org/officeDocument/2006/relationships/revisionLog" Target="revisionLog259.xml"/><Relationship Id="rId316" Type="http://schemas.openxmlformats.org/officeDocument/2006/relationships/revisionLog" Target="revisionLog294.xml"/><Relationship Id="rId337" Type="http://schemas.openxmlformats.org/officeDocument/2006/relationships/revisionLog" Target="revisionLog315.xml"/><Relationship Id="rId34" Type="http://schemas.openxmlformats.org/officeDocument/2006/relationships/revisionLog" Target="revisionLog34.xml"/><Relationship Id="rId55" Type="http://schemas.openxmlformats.org/officeDocument/2006/relationships/revisionLog" Target="revisionLog55.xml"/><Relationship Id="rId76" Type="http://schemas.openxmlformats.org/officeDocument/2006/relationships/revisionLog" Target="revisionLog76.xml"/><Relationship Id="rId97" Type="http://schemas.openxmlformats.org/officeDocument/2006/relationships/revisionLog" Target="revisionLog97.xml"/><Relationship Id="rId120" Type="http://schemas.openxmlformats.org/officeDocument/2006/relationships/revisionLog" Target="revisionLog2.xml"/><Relationship Id="rId141" Type="http://schemas.openxmlformats.org/officeDocument/2006/relationships/revisionLog" Target="revisionLog138.xml"/><Relationship Id="rId358" Type="http://schemas.openxmlformats.org/officeDocument/2006/relationships/revisionLog" Target="revisionLog336.xml"/><Relationship Id="rId379" Type="http://schemas.openxmlformats.org/officeDocument/2006/relationships/revisionLog" Target="revisionLog357.xml"/><Relationship Id="rId162" Type="http://schemas.openxmlformats.org/officeDocument/2006/relationships/revisionLog" Target="revisionLog7.xml"/><Relationship Id="rId183" Type="http://schemas.openxmlformats.org/officeDocument/2006/relationships/revisionLog" Target="revisionLog13.xml"/><Relationship Id="rId218" Type="http://schemas.openxmlformats.org/officeDocument/2006/relationships/revisionLog" Target="revisionLog196.xml"/><Relationship Id="rId239" Type="http://schemas.openxmlformats.org/officeDocument/2006/relationships/revisionLog" Target="revisionLog217.xml"/><Relationship Id="rId390" Type="http://schemas.openxmlformats.org/officeDocument/2006/relationships/revisionLog" Target="revisionLog368.xml"/><Relationship Id="rId250" Type="http://schemas.openxmlformats.org/officeDocument/2006/relationships/revisionLog" Target="revisionLog228.xml"/><Relationship Id="rId271" Type="http://schemas.openxmlformats.org/officeDocument/2006/relationships/revisionLog" Target="revisionLog249.xml"/><Relationship Id="rId292" Type="http://schemas.openxmlformats.org/officeDocument/2006/relationships/revisionLog" Target="revisionLog270.xml"/><Relationship Id="rId306" Type="http://schemas.openxmlformats.org/officeDocument/2006/relationships/revisionLog" Target="revisionLog284.xml"/><Relationship Id="rId24" Type="http://schemas.openxmlformats.org/officeDocument/2006/relationships/revisionLog" Target="revisionLog24.xml"/><Relationship Id="rId45" Type="http://schemas.openxmlformats.org/officeDocument/2006/relationships/revisionLog" Target="revisionLog45.xml"/><Relationship Id="rId66" Type="http://schemas.openxmlformats.org/officeDocument/2006/relationships/revisionLog" Target="revisionLog66.xml"/><Relationship Id="rId87" Type="http://schemas.openxmlformats.org/officeDocument/2006/relationships/revisionLog" Target="revisionLog87.xml"/><Relationship Id="rId110" Type="http://schemas.openxmlformats.org/officeDocument/2006/relationships/revisionLog" Target="revisionLog110.xml"/><Relationship Id="rId131" Type="http://schemas.openxmlformats.org/officeDocument/2006/relationships/revisionLog" Target="revisionLog128.xml"/><Relationship Id="rId327" Type="http://schemas.openxmlformats.org/officeDocument/2006/relationships/revisionLog" Target="revisionLog305.xml"/><Relationship Id="rId348" Type="http://schemas.openxmlformats.org/officeDocument/2006/relationships/revisionLog" Target="revisionLog326.xml"/><Relationship Id="rId369" Type="http://schemas.openxmlformats.org/officeDocument/2006/relationships/revisionLog" Target="revisionLog347.xml"/><Relationship Id="rId152" Type="http://schemas.openxmlformats.org/officeDocument/2006/relationships/revisionLog" Target="revisionLog149.xml"/><Relationship Id="rId173" Type="http://schemas.openxmlformats.org/officeDocument/2006/relationships/revisionLog" Target="revisionLog163.xml"/><Relationship Id="rId194" Type="http://schemas.openxmlformats.org/officeDocument/2006/relationships/revisionLog" Target="revisionLog172.xml"/><Relationship Id="rId208" Type="http://schemas.openxmlformats.org/officeDocument/2006/relationships/revisionLog" Target="revisionLog186.xml"/><Relationship Id="rId229" Type="http://schemas.openxmlformats.org/officeDocument/2006/relationships/revisionLog" Target="revisionLog207.xml"/><Relationship Id="rId380" Type="http://schemas.openxmlformats.org/officeDocument/2006/relationships/revisionLog" Target="revisionLog358.xml"/><Relationship Id="rId240" Type="http://schemas.openxmlformats.org/officeDocument/2006/relationships/revisionLog" Target="revisionLog218.xml"/><Relationship Id="rId261" Type="http://schemas.openxmlformats.org/officeDocument/2006/relationships/revisionLog" Target="revisionLog239.xml"/><Relationship Id="rId35" Type="http://schemas.openxmlformats.org/officeDocument/2006/relationships/revisionLog" Target="revisionLog35.xml"/><Relationship Id="rId56" Type="http://schemas.openxmlformats.org/officeDocument/2006/relationships/revisionLog" Target="revisionLog56.xml"/><Relationship Id="rId77" Type="http://schemas.openxmlformats.org/officeDocument/2006/relationships/revisionLog" Target="revisionLog77.xml"/><Relationship Id="rId100" Type="http://schemas.openxmlformats.org/officeDocument/2006/relationships/revisionLog" Target="revisionLog100.xml"/><Relationship Id="rId282" Type="http://schemas.openxmlformats.org/officeDocument/2006/relationships/revisionLog" Target="revisionLog260.xml"/><Relationship Id="rId317" Type="http://schemas.openxmlformats.org/officeDocument/2006/relationships/revisionLog" Target="revisionLog295.xml"/><Relationship Id="rId338" Type="http://schemas.openxmlformats.org/officeDocument/2006/relationships/revisionLog" Target="revisionLog316.xml"/><Relationship Id="rId359" Type="http://schemas.openxmlformats.org/officeDocument/2006/relationships/revisionLog" Target="revisionLog337.xml"/><Relationship Id="rId142" Type="http://schemas.openxmlformats.org/officeDocument/2006/relationships/revisionLog" Target="revisionLog139.xml"/><Relationship Id="rId98" Type="http://schemas.openxmlformats.org/officeDocument/2006/relationships/revisionLog" Target="revisionLog98.xml"/><Relationship Id="rId121" Type="http://schemas.openxmlformats.org/officeDocument/2006/relationships/revisionLog" Target="revisionLog3.xml"/><Relationship Id="rId163" Type="http://schemas.openxmlformats.org/officeDocument/2006/relationships/revisionLog" Target="revisionLog8.xml"/><Relationship Id="rId184" Type="http://schemas.openxmlformats.org/officeDocument/2006/relationships/revisionLog" Target="revisionLog14.xml"/><Relationship Id="rId219" Type="http://schemas.openxmlformats.org/officeDocument/2006/relationships/revisionLog" Target="revisionLog197.xml"/><Relationship Id="rId370" Type="http://schemas.openxmlformats.org/officeDocument/2006/relationships/revisionLog" Target="revisionLog348.xml"/><Relationship Id="rId230" Type="http://schemas.openxmlformats.org/officeDocument/2006/relationships/revisionLog" Target="revisionLog208.xml"/><Relationship Id="rId251" Type="http://schemas.openxmlformats.org/officeDocument/2006/relationships/revisionLog" Target="revisionLog229.xml"/><Relationship Id="rId25" Type="http://schemas.openxmlformats.org/officeDocument/2006/relationships/revisionLog" Target="revisionLog25.xml"/><Relationship Id="rId46" Type="http://schemas.openxmlformats.org/officeDocument/2006/relationships/revisionLog" Target="revisionLog46.xml"/><Relationship Id="rId67" Type="http://schemas.openxmlformats.org/officeDocument/2006/relationships/revisionLog" Target="revisionLog67.xml"/><Relationship Id="rId272" Type="http://schemas.openxmlformats.org/officeDocument/2006/relationships/revisionLog" Target="revisionLog250.xml"/><Relationship Id="rId293" Type="http://schemas.openxmlformats.org/officeDocument/2006/relationships/revisionLog" Target="revisionLog271.xml"/><Relationship Id="rId307" Type="http://schemas.openxmlformats.org/officeDocument/2006/relationships/revisionLog" Target="revisionLog285.xml"/><Relationship Id="rId328" Type="http://schemas.openxmlformats.org/officeDocument/2006/relationships/revisionLog" Target="revisionLog306.xml"/><Relationship Id="rId349" Type="http://schemas.openxmlformats.org/officeDocument/2006/relationships/revisionLog" Target="revisionLog327.xml"/><Relationship Id="rId88" Type="http://schemas.openxmlformats.org/officeDocument/2006/relationships/revisionLog" Target="revisionLog88.xml"/><Relationship Id="rId111" Type="http://schemas.openxmlformats.org/officeDocument/2006/relationships/revisionLog" Target="revisionLog111.xml"/><Relationship Id="rId132" Type="http://schemas.openxmlformats.org/officeDocument/2006/relationships/revisionLog" Target="revisionLog129.xml"/><Relationship Id="rId153" Type="http://schemas.openxmlformats.org/officeDocument/2006/relationships/revisionLog" Target="revisionLog150.xml"/><Relationship Id="rId174" Type="http://schemas.openxmlformats.org/officeDocument/2006/relationships/revisionLog" Target="revisionLog164.xml"/><Relationship Id="rId195" Type="http://schemas.openxmlformats.org/officeDocument/2006/relationships/revisionLog" Target="revisionLog173.xml"/><Relationship Id="rId209" Type="http://schemas.openxmlformats.org/officeDocument/2006/relationships/revisionLog" Target="revisionLog187.xml"/><Relationship Id="rId360" Type="http://schemas.openxmlformats.org/officeDocument/2006/relationships/revisionLog" Target="revisionLog338.xml"/><Relationship Id="rId381" Type="http://schemas.openxmlformats.org/officeDocument/2006/relationships/revisionLog" Target="revisionLog359.xml"/><Relationship Id="rId220" Type="http://schemas.openxmlformats.org/officeDocument/2006/relationships/revisionLog" Target="revisionLog198.xml"/><Relationship Id="rId241" Type="http://schemas.openxmlformats.org/officeDocument/2006/relationships/revisionLog" Target="revisionLog219.xml"/><Relationship Id="rId36" Type="http://schemas.openxmlformats.org/officeDocument/2006/relationships/revisionLog" Target="revisionLog36.xml"/><Relationship Id="rId57" Type="http://schemas.openxmlformats.org/officeDocument/2006/relationships/revisionLog" Target="revisionLog57.xml"/><Relationship Id="rId262" Type="http://schemas.openxmlformats.org/officeDocument/2006/relationships/revisionLog" Target="revisionLog240.xml"/><Relationship Id="rId283" Type="http://schemas.openxmlformats.org/officeDocument/2006/relationships/revisionLog" Target="revisionLog261.xml"/><Relationship Id="rId318" Type="http://schemas.openxmlformats.org/officeDocument/2006/relationships/revisionLog" Target="revisionLog296.xml"/><Relationship Id="rId339" Type="http://schemas.openxmlformats.org/officeDocument/2006/relationships/revisionLog" Target="revisionLog317.xml"/><Relationship Id="rId31" Type="http://schemas.openxmlformats.org/officeDocument/2006/relationships/revisionLog" Target="revisionLog31.xml"/><Relationship Id="rId52" Type="http://schemas.openxmlformats.org/officeDocument/2006/relationships/revisionLog" Target="revisionLog52.xml"/><Relationship Id="rId73" Type="http://schemas.openxmlformats.org/officeDocument/2006/relationships/revisionLog" Target="revisionLog73.xml"/><Relationship Id="rId78" Type="http://schemas.openxmlformats.org/officeDocument/2006/relationships/revisionLog" Target="revisionLog78.xml"/><Relationship Id="rId94" Type="http://schemas.openxmlformats.org/officeDocument/2006/relationships/revisionLog" Target="revisionLog94.xml"/><Relationship Id="rId99" Type="http://schemas.openxmlformats.org/officeDocument/2006/relationships/revisionLog" Target="revisionLog99.xml"/><Relationship Id="rId101" Type="http://schemas.openxmlformats.org/officeDocument/2006/relationships/revisionLog" Target="revisionLog101.xml"/><Relationship Id="rId122" Type="http://schemas.openxmlformats.org/officeDocument/2006/relationships/revisionLog" Target="revisionLog119.xml"/><Relationship Id="rId143" Type="http://schemas.openxmlformats.org/officeDocument/2006/relationships/revisionLog" Target="revisionLog140.xml"/><Relationship Id="rId148" Type="http://schemas.openxmlformats.org/officeDocument/2006/relationships/revisionLog" Target="revisionLog145.xml"/><Relationship Id="rId164" Type="http://schemas.openxmlformats.org/officeDocument/2006/relationships/revisionLog" Target="revisionLog9.xml"/><Relationship Id="rId169" Type="http://schemas.openxmlformats.org/officeDocument/2006/relationships/revisionLog" Target="revisionLog159.xml"/><Relationship Id="rId185" Type="http://schemas.openxmlformats.org/officeDocument/2006/relationships/revisionLog" Target="revisionLog15.xml"/><Relationship Id="rId334" Type="http://schemas.openxmlformats.org/officeDocument/2006/relationships/revisionLog" Target="revisionLog312.xml"/><Relationship Id="rId350" Type="http://schemas.openxmlformats.org/officeDocument/2006/relationships/revisionLog" Target="revisionLog328.xml"/><Relationship Id="rId355" Type="http://schemas.openxmlformats.org/officeDocument/2006/relationships/revisionLog" Target="revisionLog333.xml"/><Relationship Id="rId371" Type="http://schemas.openxmlformats.org/officeDocument/2006/relationships/revisionLog" Target="revisionLog349.xml"/><Relationship Id="rId376" Type="http://schemas.openxmlformats.org/officeDocument/2006/relationships/revisionLog" Target="revisionLog354.xml"/><Relationship Id="rId180" Type="http://schemas.openxmlformats.org/officeDocument/2006/relationships/revisionLog" Target="revisionLog170.xml"/><Relationship Id="rId210" Type="http://schemas.openxmlformats.org/officeDocument/2006/relationships/revisionLog" Target="revisionLog188.xml"/><Relationship Id="rId215" Type="http://schemas.openxmlformats.org/officeDocument/2006/relationships/revisionLog" Target="revisionLog193.xml"/><Relationship Id="rId236" Type="http://schemas.openxmlformats.org/officeDocument/2006/relationships/revisionLog" Target="revisionLog214.xml"/><Relationship Id="rId257" Type="http://schemas.openxmlformats.org/officeDocument/2006/relationships/revisionLog" Target="revisionLog235.xml"/><Relationship Id="rId278" Type="http://schemas.openxmlformats.org/officeDocument/2006/relationships/revisionLog" Target="revisionLog256.xml"/><Relationship Id="rId26" Type="http://schemas.openxmlformats.org/officeDocument/2006/relationships/revisionLog" Target="revisionLog26.xml"/><Relationship Id="rId231" Type="http://schemas.openxmlformats.org/officeDocument/2006/relationships/revisionLog" Target="revisionLog209.xml"/><Relationship Id="rId252" Type="http://schemas.openxmlformats.org/officeDocument/2006/relationships/revisionLog" Target="revisionLog230.xml"/><Relationship Id="rId273" Type="http://schemas.openxmlformats.org/officeDocument/2006/relationships/revisionLog" Target="revisionLog251.xml"/><Relationship Id="rId294" Type="http://schemas.openxmlformats.org/officeDocument/2006/relationships/revisionLog" Target="revisionLog272.xml"/><Relationship Id="rId308" Type="http://schemas.openxmlformats.org/officeDocument/2006/relationships/revisionLog" Target="revisionLog286.xml"/><Relationship Id="rId329" Type="http://schemas.openxmlformats.org/officeDocument/2006/relationships/revisionLog" Target="revisionLog307.xml"/><Relationship Id="rId175" Type="http://schemas.openxmlformats.org/officeDocument/2006/relationships/revisionLog" Target="revisionLog165.xml"/><Relationship Id="rId47" Type="http://schemas.openxmlformats.org/officeDocument/2006/relationships/revisionLog" Target="revisionLog47.xml"/><Relationship Id="rId68" Type="http://schemas.openxmlformats.org/officeDocument/2006/relationships/revisionLog" Target="revisionLog68.xml"/><Relationship Id="rId89" Type="http://schemas.openxmlformats.org/officeDocument/2006/relationships/revisionLog" Target="revisionLog89.xml"/><Relationship Id="rId112" Type="http://schemas.openxmlformats.org/officeDocument/2006/relationships/revisionLog" Target="revisionLog112.xml"/><Relationship Id="rId133" Type="http://schemas.openxmlformats.org/officeDocument/2006/relationships/revisionLog" Target="revisionLog130.xml"/><Relationship Id="rId154" Type="http://schemas.openxmlformats.org/officeDocument/2006/relationships/revisionLog" Target="revisionLog151.xml"/><Relationship Id="rId340" Type="http://schemas.openxmlformats.org/officeDocument/2006/relationships/revisionLog" Target="revisionLog318.xml"/><Relationship Id="rId361" Type="http://schemas.openxmlformats.org/officeDocument/2006/relationships/revisionLog" Target="revisionLog339.xml"/><Relationship Id="rId196" Type="http://schemas.openxmlformats.org/officeDocument/2006/relationships/revisionLog" Target="revisionLog174.xml"/><Relationship Id="rId200" Type="http://schemas.openxmlformats.org/officeDocument/2006/relationships/revisionLog" Target="revisionLog178.xml"/><Relationship Id="rId382" Type="http://schemas.openxmlformats.org/officeDocument/2006/relationships/revisionLog" Target="revisionLog360.xml"/><Relationship Id="rId221" Type="http://schemas.openxmlformats.org/officeDocument/2006/relationships/revisionLog" Target="revisionLog199.xml"/><Relationship Id="rId242" Type="http://schemas.openxmlformats.org/officeDocument/2006/relationships/revisionLog" Target="revisionLog220.xml"/><Relationship Id="rId263" Type="http://schemas.openxmlformats.org/officeDocument/2006/relationships/revisionLog" Target="revisionLog241.xml"/><Relationship Id="rId284" Type="http://schemas.openxmlformats.org/officeDocument/2006/relationships/revisionLog" Target="revisionLog262.xml"/><Relationship Id="rId319" Type="http://schemas.openxmlformats.org/officeDocument/2006/relationships/revisionLog" Target="revisionLog297.xml"/><Relationship Id="rId37" Type="http://schemas.openxmlformats.org/officeDocument/2006/relationships/revisionLog" Target="revisionLog37.xml"/><Relationship Id="rId58" Type="http://schemas.openxmlformats.org/officeDocument/2006/relationships/revisionLog" Target="revisionLog58.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0.xml"/><Relationship Id="rId144" Type="http://schemas.openxmlformats.org/officeDocument/2006/relationships/revisionLog" Target="revisionLog141.xml"/><Relationship Id="rId330" Type="http://schemas.openxmlformats.org/officeDocument/2006/relationships/revisionLog" Target="revisionLog308.xml"/><Relationship Id="rId90" Type="http://schemas.openxmlformats.org/officeDocument/2006/relationships/revisionLog" Target="revisionLog90.xml"/><Relationship Id="rId165" Type="http://schemas.openxmlformats.org/officeDocument/2006/relationships/revisionLog" Target="revisionLog10.xml"/><Relationship Id="rId186" Type="http://schemas.openxmlformats.org/officeDocument/2006/relationships/revisionLog" Target="revisionLog16.xml"/><Relationship Id="rId351" Type="http://schemas.openxmlformats.org/officeDocument/2006/relationships/revisionLog" Target="revisionLog329.xml"/><Relationship Id="rId372" Type="http://schemas.openxmlformats.org/officeDocument/2006/relationships/revisionLog" Target="revisionLog350.xml"/><Relationship Id="rId211" Type="http://schemas.openxmlformats.org/officeDocument/2006/relationships/revisionLog" Target="revisionLog189.xml"/><Relationship Id="rId232" Type="http://schemas.openxmlformats.org/officeDocument/2006/relationships/revisionLog" Target="revisionLog210.xml"/><Relationship Id="rId253" Type="http://schemas.openxmlformats.org/officeDocument/2006/relationships/revisionLog" Target="revisionLog231.xml"/><Relationship Id="rId274" Type="http://schemas.openxmlformats.org/officeDocument/2006/relationships/revisionLog" Target="revisionLog252.xml"/><Relationship Id="rId295" Type="http://schemas.openxmlformats.org/officeDocument/2006/relationships/revisionLog" Target="revisionLog273.xml"/><Relationship Id="rId309" Type="http://schemas.openxmlformats.org/officeDocument/2006/relationships/revisionLog" Target="revisionLog287.xml"/><Relationship Id="rId27" Type="http://schemas.openxmlformats.org/officeDocument/2006/relationships/revisionLog" Target="revisionLog27.xml"/><Relationship Id="rId48" Type="http://schemas.openxmlformats.org/officeDocument/2006/relationships/revisionLog" Target="revisionLog48.xml"/><Relationship Id="rId69" Type="http://schemas.openxmlformats.org/officeDocument/2006/relationships/revisionLog" Target="revisionLog69.xml"/><Relationship Id="rId113" Type="http://schemas.openxmlformats.org/officeDocument/2006/relationships/revisionLog" Target="revisionLog113.xml"/><Relationship Id="rId134" Type="http://schemas.openxmlformats.org/officeDocument/2006/relationships/revisionLog" Target="revisionLog131.xml"/><Relationship Id="rId320" Type="http://schemas.openxmlformats.org/officeDocument/2006/relationships/revisionLog" Target="revisionLog298.xml"/><Relationship Id="rId80" Type="http://schemas.openxmlformats.org/officeDocument/2006/relationships/revisionLog" Target="revisionLog80.xml"/><Relationship Id="rId155" Type="http://schemas.openxmlformats.org/officeDocument/2006/relationships/revisionLog" Target="revisionLog152.xml"/><Relationship Id="rId176" Type="http://schemas.openxmlformats.org/officeDocument/2006/relationships/revisionLog" Target="revisionLog166.xml"/><Relationship Id="rId197" Type="http://schemas.openxmlformats.org/officeDocument/2006/relationships/revisionLog" Target="revisionLog175.xml"/><Relationship Id="rId341" Type="http://schemas.openxmlformats.org/officeDocument/2006/relationships/revisionLog" Target="revisionLog319.xml"/><Relationship Id="rId362" Type="http://schemas.openxmlformats.org/officeDocument/2006/relationships/revisionLog" Target="revisionLog340.xml"/><Relationship Id="rId383" Type="http://schemas.openxmlformats.org/officeDocument/2006/relationships/revisionLog" Target="revisionLog361.xml"/><Relationship Id="rId201" Type="http://schemas.openxmlformats.org/officeDocument/2006/relationships/revisionLog" Target="revisionLog179.xml"/><Relationship Id="rId222" Type="http://schemas.openxmlformats.org/officeDocument/2006/relationships/revisionLog" Target="revisionLog200.xml"/><Relationship Id="rId243" Type="http://schemas.openxmlformats.org/officeDocument/2006/relationships/revisionLog" Target="revisionLog221.xml"/><Relationship Id="rId264" Type="http://schemas.openxmlformats.org/officeDocument/2006/relationships/revisionLog" Target="revisionLog242.xml"/><Relationship Id="rId285" Type="http://schemas.openxmlformats.org/officeDocument/2006/relationships/revisionLog" Target="revisionLog263.xml"/><Relationship Id="rId124" Type="http://schemas.openxmlformats.org/officeDocument/2006/relationships/revisionLog" Target="revisionLog121.xml"/><Relationship Id="rId38" Type="http://schemas.openxmlformats.org/officeDocument/2006/relationships/revisionLog" Target="revisionLog38.xml"/><Relationship Id="rId59" Type="http://schemas.openxmlformats.org/officeDocument/2006/relationships/revisionLog" Target="revisionLog59.xml"/><Relationship Id="rId103" Type="http://schemas.openxmlformats.org/officeDocument/2006/relationships/revisionLog" Target="revisionLog103.xml"/><Relationship Id="rId310" Type="http://schemas.openxmlformats.org/officeDocument/2006/relationships/revisionLog" Target="revisionLog288.xml"/><Relationship Id="rId70" Type="http://schemas.openxmlformats.org/officeDocument/2006/relationships/revisionLog" Target="revisionLog70.xml"/><Relationship Id="rId91" Type="http://schemas.openxmlformats.org/officeDocument/2006/relationships/revisionLog" Target="revisionLog91.xml"/><Relationship Id="rId145" Type="http://schemas.openxmlformats.org/officeDocument/2006/relationships/revisionLog" Target="revisionLog142.xml"/><Relationship Id="rId166" Type="http://schemas.openxmlformats.org/officeDocument/2006/relationships/revisionLog" Target="revisionLog156.xml"/><Relationship Id="rId187" Type="http://schemas.openxmlformats.org/officeDocument/2006/relationships/revisionLog" Target="revisionLog17.xml"/><Relationship Id="rId331" Type="http://schemas.openxmlformats.org/officeDocument/2006/relationships/revisionLog" Target="revisionLog309.xml"/><Relationship Id="rId352" Type="http://schemas.openxmlformats.org/officeDocument/2006/relationships/revisionLog" Target="revisionLog330.xml"/><Relationship Id="rId373" Type="http://schemas.openxmlformats.org/officeDocument/2006/relationships/revisionLog" Target="revisionLog351.xml"/><Relationship Id="rId212" Type="http://schemas.openxmlformats.org/officeDocument/2006/relationships/revisionLog" Target="revisionLog190.xml"/><Relationship Id="rId233" Type="http://schemas.openxmlformats.org/officeDocument/2006/relationships/revisionLog" Target="revisionLog211.xml"/><Relationship Id="rId254" Type="http://schemas.openxmlformats.org/officeDocument/2006/relationships/revisionLog" Target="revisionLog232.xml"/><Relationship Id="rId28" Type="http://schemas.openxmlformats.org/officeDocument/2006/relationships/revisionLog" Target="revisionLog28.xml"/><Relationship Id="rId49" Type="http://schemas.openxmlformats.org/officeDocument/2006/relationships/revisionLog" Target="revisionLog49.xml"/><Relationship Id="rId114" Type="http://schemas.openxmlformats.org/officeDocument/2006/relationships/revisionLog" Target="revisionLog114.xml"/><Relationship Id="rId275" Type="http://schemas.openxmlformats.org/officeDocument/2006/relationships/revisionLog" Target="revisionLog253.xml"/><Relationship Id="rId296" Type="http://schemas.openxmlformats.org/officeDocument/2006/relationships/revisionLog" Target="revisionLog274.xml"/><Relationship Id="rId300" Type="http://schemas.openxmlformats.org/officeDocument/2006/relationships/revisionLog" Target="revisionLog278.xml"/><Relationship Id="rId156" Type="http://schemas.openxmlformats.org/officeDocument/2006/relationships/revisionLog" Target="revisionLog153.xml"/><Relationship Id="rId60" Type="http://schemas.openxmlformats.org/officeDocument/2006/relationships/revisionLog" Target="revisionLog60.xml"/><Relationship Id="rId81" Type="http://schemas.openxmlformats.org/officeDocument/2006/relationships/revisionLog" Target="revisionLog81.xml"/><Relationship Id="rId135" Type="http://schemas.openxmlformats.org/officeDocument/2006/relationships/revisionLog" Target="revisionLog132.xml"/><Relationship Id="rId177" Type="http://schemas.openxmlformats.org/officeDocument/2006/relationships/revisionLog" Target="revisionLog167.xml"/><Relationship Id="rId198" Type="http://schemas.openxmlformats.org/officeDocument/2006/relationships/revisionLog" Target="revisionLog176.xml"/><Relationship Id="rId321" Type="http://schemas.openxmlformats.org/officeDocument/2006/relationships/revisionLog" Target="revisionLog299.xml"/><Relationship Id="rId342" Type="http://schemas.openxmlformats.org/officeDocument/2006/relationships/revisionLog" Target="revisionLog320.xml"/><Relationship Id="rId363" Type="http://schemas.openxmlformats.org/officeDocument/2006/relationships/revisionLog" Target="revisionLog341.xml"/><Relationship Id="rId384" Type="http://schemas.openxmlformats.org/officeDocument/2006/relationships/revisionLog" Target="revisionLog362.xml"/><Relationship Id="rId202" Type="http://schemas.openxmlformats.org/officeDocument/2006/relationships/revisionLog" Target="revisionLog180.xml"/><Relationship Id="rId223" Type="http://schemas.openxmlformats.org/officeDocument/2006/relationships/revisionLog" Target="revisionLog201.xml"/><Relationship Id="rId244" Type="http://schemas.openxmlformats.org/officeDocument/2006/relationships/revisionLog" Target="revisionLog222.xml"/><Relationship Id="rId39" Type="http://schemas.openxmlformats.org/officeDocument/2006/relationships/revisionLog" Target="revisionLog39.xml"/><Relationship Id="rId265" Type="http://schemas.openxmlformats.org/officeDocument/2006/relationships/revisionLog" Target="revisionLog243.xml"/><Relationship Id="rId286" Type="http://schemas.openxmlformats.org/officeDocument/2006/relationships/revisionLog" Target="revisionLog264.xml"/><Relationship Id="rId50" Type="http://schemas.openxmlformats.org/officeDocument/2006/relationships/revisionLog" Target="revisionLog50.xml"/><Relationship Id="rId104" Type="http://schemas.openxmlformats.org/officeDocument/2006/relationships/revisionLog" Target="revisionLog104.xml"/><Relationship Id="rId125" Type="http://schemas.openxmlformats.org/officeDocument/2006/relationships/revisionLog" Target="revisionLog122.xml"/><Relationship Id="rId146" Type="http://schemas.openxmlformats.org/officeDocument/2006/relationships/revisionLog" Target="revisionLog143.xml"/><Relationship Id="rId167" Type="http://schemas.openxmlformats.org/officeDocument/2006/relationships/revisionLog" Target="revisionLog157.xml"/><Relationship Id="rId188" Type="http://schemas.openxmlformats.org/officeDocument/2006/relationships/revisionLog" Target="revisionLog18.xml"/><Relationship Id="rId311" Type="http://schemas.openxmlformats.org/officeDocument/2006/relationships/revisionLog" Target="revisionLog289.xml"/><Relationship Id="rId332" Type="http://schemas.openxmlformats.org/officeDocument/2006/relationships/revisionLog" Target="revisionLog310.xml"/><Relationship Id="rId353" Type="http://schemas.openxmlformats.org/officeDocument/2006/relationships/revisionLog" Target="revisionLog331.xml"/><Relationship Id="rId374" Type="http://schemas.openxmlformats.org/officeDocument/2006/relationships/revisionLog" Target="revisionLog352.xml"/><Relationship Id="rId92" Type="http://schemas.openxmlformats.org/officeDocument/2006/relationships/revisionLog" Target="revisionLog92.xml"/><Relationship Id="rId71" Type="http://schemas.openxmlformats.org/officeDocument/2006/relationships/revisionLog" Target="revisionLog71.xml"/><Relationship Id="rId213" Type="http://schemas.openxmlformats.org/officeDocument/2006/relationships/revisionLog" Target="revisionLog191.xml"/><Relationship Id="rId234" Type="http://schemas.openxmlformats.org/officeDocument/2006/relationships/revisionLog" Target="revisionLog212.xml"/><Relationship Id="rId29" Type="http://schemas.openxmlformats.org/officeDocument/2006/relationships/revisionLog" Target="revisionLog29.xml"/><Relationship Id="rId255" Type="http://schemas.openxmlformats.org/officeDocument/2006/relationships/revisionLog" Target="revisionLog233.xml"/><Relationship Id="rId276" Type="http://schemas.openxmlformats.org/officeDocument/2006/relationships/revisionLog" Target="revisionLog254.xml"/><Relationship Id="rId297" Type="http://schemas.openxmlformats.org/officeDocument/2006/relationships/revisionLog" Target="revisionLog275.xml"/><Relationship Id="rId40" Type="http://schemas.openxmlformats.org/officeDocument/2006/relationships/revisionLog" Target="revisionLog40.xml"/><Relationship Id="rId115" Type="http://schemas.openxmlformats.org/officeDocument/2006/relationships/revisionLog" Target="revisionLog115.xml"/><Relationship Id="rId136" Type="http://schemas.openxmlformats.org/officeDocument/2006/relationships/revisionLog" Target="revisionLog133.xml"/><Relationship Id="rId157" Type="http://schemas.openxmlformats.org/officeDocument/2006/relationships/revisionLog" Target="revisionLog154.xml"/><Relationship Id="rId178" Type="http://schemas.openxmlformats.org/officeDocument/2006/relationships/revisionLog" Target="revisionLog168.xml"/><Relationship Id="rId301" Type="http://schemas.openxmlformats.org/officeDocument/2006/relationships/revisionLog" Target="revisionLog279.xml"/><Relationship Id="rId322" Type="http://schemas.openxmlformats.org/officeDocument/2006/relationships/revisionLog" Target="revisionLog300.xml"/><Relationship Id="rId343" Type="http://schemas.openxmlformats.org/officeDocument/2006/relationships/revisionLog" Target="revisionLog321.xml"/><Relationship Id="rId364" Type="http://schemas.openxmlformats.org/officeDocument/2006/relationships/revisionLog" Target="revisionLog342.xml"/><Relationship Id="rId61" Type="http://schemas.openxmlformats.org/officeDocument/2006/relationships/revisionLog" Target="revisionLog61.xml"/><Relationship Id="rId82" Type="http://schemas.openxmlformats.org/officeDocument/2006/relationships/revisionLog" Target="revisionLog82.xml"/><Relationship Id="rId199" Type="http://schemas.openxmlformats.org/officeDocument/2006/relationships/revisionLog" Target="revisionLog177.xml"/><Relationship Id="rId203" Type="http://schemas.openxmlformats.org/officeDocument/2006/relationships/revisionLog" Target="revisionLog181.xml"/><Relationship Id="rId385" Type="http://schemas.openxmlformats.org/officeDocument/2006/relationships/revisionLog" Target="revisionLog363.xml"/><Relationship Id="rId224" Type="http://schemas.openxmlformats.org/officeDocument/2006/relationships/revisionLog" Target="revisionLog202.xml"/><Relationship Id="rId245" Type="http://schemas.openxmlformats.org/officeDocument/2006/relationships/revisionLog" Target="revisionLog223.xml"/><Relationship Id="rId266" Type="http://schemas.openxmlformats.org/officeDocument/2006/relationships/revisionLog" Target="revisionLog244.xml"/><Relationship Id="rId287" Type="http://schemas.openxmlformats.org/officeDocument/2006/relationships/revisionLog" Target="revisionLog265.xml"/><Relationship Id="rId168" Type="http://schemas.openxmlformats.org/officeDocument/2006/relationships/revisionLog" Target="revisionLog158.xml"/><Relationship Id="rId30" Type="http://schemas.openxmlformats.org/officeDocument/2006/relationships/revisionLog" Target="revisionLog30.xml"/><Relationship Id="rId105" Type="http://schemas.openxmlformats.org/officeDocument/2006/relationships/revisionLog" Target="revisionLog105.xml"/><Relationship Id="rId126" Type="http://schemas.openxmlformats.org/officeDocument/2006/relationships/revisionLog" Target="revisionLog123.xml"/><Relationship Id="rId147" Type="http://schemas.openxmlformats.org/officeDocument/2006/relationships/revisionLog" Target="revisionLog144.xml"/><Relationship Id="rId312" Type="http://schemas.openxmlformats.org/officeDocument/2006/relationships/revisionLog" Target="revisionLog290.xml"/><Relationship Id="rId333" Type="http://schemas.openxmlformats.org/officeDocument/2006/relationships/revisionLog" Target="revisionLog311.xml"/><Relationship Id="rId354" Type="http://schemas.openxmlformats.org/officeDocument/2006/relationships/revisionLog" Target="revisionLog332.xml"/><Relationship Id="rId51" Type="http://schemas.openxmlformats.org/officeDocument/2006/relationships/revisionLog" Target="revisionLog51.xml"/><Relationship Id="rId72" Type="http://schemas.openxmlformats.org/officeDocument/2006/relationships/revisionLog" Target="revisionLog72.xml"/><Relationship Id="rId93" Type="http://schemas.openxmlformats.org/officeDocument/2006/relationships/revisionLog" Target="revisionLog93.xml"/><Relationship Id="rId189" Type="http://schemas.openxmlformats.org/officeDocument/2006/relationships/revisionLog" Target="revisionLog19.xml"/><Relationship Id="rId375" Type="http://schemas.openxmlformats.org/officeDocument/2006/relationships/revisionLog" Target="revisionLog353.xml"/><Relationship Id="rId214" Type="http://schemas.openxmlformats.org/officeDocument/2006/relationships/revisionLog" Target="revisionLog192.xml"/><Relationship Id="rId235" Type="http://schemas.openxmlformats.org/officeDocument/2006/relationships/revisionLog" Target="revisionLog213.xml"/><Relationship Id="rId256" Type="http://schemas.openxmlformats.org/officeDocument/2006/relationships/revisionLog" Target="revisionLog234.xml"/><Relationship Id="rId277" Type="http://schemas.openxmlformats.org/officeDocument/2006/relationships/revisionLog" Target="revisionLog255.xml"/><Relationship Id="rId298" Type="http://schemas.openxmlformats.org/officeDocument/2006/relationships/revisionLog" Target="revisionLog276.xml"/><Relationship Id="rId116" Type="http://schemas.openxmlformats.org/officeDocument/2006/relationships/revisionLog" Target="revisionLog116.xml"/><Relationship Id="rId137" Type="http://schemas.openxmlformats.org/officeDocument/2006/relationships/revisionLog" Target="revisionLog134.xml"/><Relationship Id="rId158" Type="http://schemas.openxmlformats.org/officeDocument/2006/relationships/revisionLog" Target="revisionLog155.xml"/><Relationship Id="rId302" Type="http://schemas.openxmlformats.org/officeDocument/2006/relationships/revisionLog" Target="revisionLog280.xml"/><Relationship Id="rId323" Type="http://schemas.openxmlformats.org/officeDocument/2006/relationships/revisionLog" Target="revisionLog301.xml"/><Relationship Id="rId344" Type="http://schemas.openxmlformats.org/officeDocument/2006/relationships/revisionLog" Target="revisionLog322.xml"/><Relationship Id="rId179" Type="http://schemas.openxmlformats.org/officeDocument/2006/relationships/revisionLog" Target="revisionLog169.xml"/><Relationship Id="rId41" Type="http://schemas.openxmlformats.org/officeDocument/2006/relationships/revisionLog" Target="revisionLog41.xml"/><Relationship Id="rId62" Type="http://schemas.openxmlformats.org/officeDocument/2006/relationships/revisionLog" Target="revisionLog62.xml"/><Relationship Id="rId83" Type="http://schemas.openxmlformats.org/officeDocument/2006/relationships/revisionLog" Target="revisionLog83.xml"/><Relationship Id="rId365" Type="http://schemas.openxmlformats.org/officeDocument/2006/relationships/revisionLog" Target="revisionLog343.xml"/><Relationship Id="rId386" Type="http://schemas.openxmlformats.org/officeDocument/2006/relationships/revisionLog" Target="revisionLog364.xml"/><Relationship Id="rId190" Type="http://schemas.openxmlformats.org/officeDocument/2006/relationships/revisionLog" Target="revisionLog20.xml"/><Relationship Id="rId204" Type="http://schemas.openxmlformats.org/officeDocument/2006/relationships/revisionLog" Target="revisionLog182.xml"/><Relationship Id="rId225" Type="http://schemas.openxmlformats.org/officeDocument/2006/relationships/revisionLog" Target="revisionLog203.xml"/><Relationship Id="rId246" Type="http://schemas.openxmlformats.org/officeDocument/2006/relationships/revisionLog" Target="revisionLog224.xml"/><Relationship Id="rId267" Type="http://schemas.openxmlformats.org/officeDocument/2006/relationships/revisionLog" Target="revisionLog245.xml"/><Relationship Id="rId288" Type="http://schemas.openxmlformats.org/officeDocument/2006/relationships/revisionLog" Target="revisionLog266.xml"/><Relationship Id="rId127" Type="http://schemas.openxmlformats.org/officeDocument/2006/relationships/revisionLog" Target="revisionLog124.xml"/><Relationship Id="rId106" Type="http://schemas.openxmlformats.org/officeDocument/2006/relationships/revisionLog" Target="revisionLog106.xml"/><Relationship Id="rId313" Type="http://schemas.openxmlformats.org/officeDocument/2006/relationships/revisionLog" Target="revisionLog29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FA35BA9D-7694-408D-8E44-ECAC4AB44D43}" diskRevisions="1" revisionId="4705" version="390">
  <header guid="{52417942-70E5-4E63-B5C8-DB7433903F00}" dateTime="2020-03-02T08:11:11" maxSheetId="5" userName="Thaiany Antunes" r:id="rId23" minRId="591">
    <sheetIdMap count="4">
      <sheetId val="2"/>
      <sheetId val="1"/>
      <sheetId val="3"/>
      <sheetId val="4"/>
    </sheetIdMap>
  </header>
  <header guid="{B464943D-5A69-42BE-8FBD-98E962D8FE69}" dateTime="2020-03-03T08:53:41" maxSheetId="5" userName="Fabienia Paula" r:id="rId24" minRId="593">
    <sheetIdMap count="4">
      <sheetId val="2"/>
      <sheetId val="1"/>
      <sheetId val="3"/>
      <sheetId val="4"/>
    </sheetIdMap>
  </header>
  <header guid="{186626CC-A983-430E-BDBB-AF7473DBFF58}" dateTime="2020-03-03T08:54:33" maxSheetId="5" userName="Fabienia Paula" r:id="rId25" minRId="594" maxRId="595">
    <sheetIdMap count="4">
      <sheetId val="2"/>
      <sheetId val="1"/>
      <sheetId val="3"/>
      <sheetId val="4"/>
    </sheetIdMap>
  </header>
  <header guid="{0076D7F7-D469-48E3-8C91-F19C29319589}" dateTime="2020-03-03T08:58:34" maxSheetId="5" userName="Thaiany Antunes" r:id="rId26" minRId="596">
    <sheetIdMap count="4">
      <sheetId val="2"/>
      <sheetId val="1"/>
      <sheetId val="3"/>
      <sheetId val="4"/>
    </sheetIdMap>
  </header>
  <header guid="{E93CB0C9-57A8-47DE-AB55-E4ECAEC5BF60}" dateTime="2020-03-03T09:04:28" maxSheetId="5" userName="Thaiany Antunes" r:id="rId27" minRId="597">
    <sheetIdMap count="4">
      <sheetId val="2"/>
      <sheetId val="1"/>
      <sheetId val="3"/>
      <sheetId val="4"/>
    </sheetIdMap>
  </header>
  <header guid="{5FB64AB0-BFE1-4CF2-B78A-B476AF12490B}" dateTime="2020-03-03T09:14:51" maxSheetId="5" userName="Thaiany Antunes" r:id="rId28" minRId="598">
    <sheetIdMap count="4">
      <sheetId val="2"/>
      <sheetId val="1"/>
      <sheetId val="3"/>
      <sheetId val="4"/>
    </sheetIdMap>
  </header>
  <header guid="{A63E6DBD-FF3F-4DDE-9C45-FEC991CF2B87}" dateTime="2020-03-03T09:32:44" maxSheetId="5" userName="Fabienia Paula" r:id="rId29" minRId="599">
    <sheetIdMap count="4">
      <sheetId val="2"/>
      <sheetId val="1"/>
      <sheetId val="3"/>
      <sheetId val="4"/>
    </sheetIdMap>
  </header>
  <header guid="{BEF40425-B7E4-4C4B-BC60-19A131C8770D}" dateTime="2020-03-03T09:41:35" maxSheetId="5" userName="Thaiany Antunes" r:id="rId30" minRId="600">
    <sheetIdMap count="4">
      <sheetId val="2"/>
      <sheetId val="1"/>
      <sheetId val="3"/>
      <sheetId val="4"/>
    </sheetIdMap>
  </header>
  <header guid="{F5D667E1-73B7-4745-860A-9D275CBB34DB}" dateTime="2020-03-03T09:54:00" maxSheetId="5" userName="Thaiany Antunes" r:id="rId31" minRId="601" maxRId="604">
    <sheetIdMap count="4">
      <sheetId val="2"/>
      <sheetId val="1"/>
      <sheetId val="3"/>
      <sheetId val="4"/>
    </sheetIdMap>
  </header>
  <header guid="{2F51990C-6A7A-4795-977D-73AE7272D155}" dateTime="2020-03-03T14:04:11" maxSheetId="5" userName="Thaiany Antunes" r:id="rId32" minRId="605" maxRId="606">
    <sheetIdMap count="4">
      <sheetId val="2"/>
      <sheetId val="1"/>
      <sheetId val="3"/>
      <sheetId val="4"/>
    </sheetIdMap>
  </header>
  <header guid="{F21A5DF4-BAD1-4FC4-AE59-ADA9AF344460}" dateTime="2020-03-03T14:26:52" maxSheetId="5" userName="Thaiany Antunes" r:id="rId33" minRId="607">
    <sheetIdMap count="4">
      <sheetId val="2"/>
      <sheetId val="1"/>
      <sheetId val="3"/>
      <sheetId val="4"/>
    </sheetIdMap>
  </header>
  <header guid="{45AA7C67-9FA1-4D14-9BE1-32C1436DD420}" dateTime="2020-03-03T14:29:09" maxSheetId="5" userName="Thaiany Antunes" r:id="rId34" minRId="609">
    <sheetIdMap count="4">
      <sheetId val="2"/>
      <sheetId val="1"/>
      <sheetId val="3"/>
      <sheetId val="4"/>
    </sheetIdMap>
  </header>
  <header guid="{700A6540-5EBD-4059-8588-9AF58BDC21DD}" dateTime="2020-03-03T14:33:44" maxSheetId="5" userName="Thaiany Antunes" r:id="rId35" minRId="610">
    <sheetIdMap count="4">
      <sheetId val="2"/>
      <sheetId val="1"/>
      <sheetId val="3"/>
      <sheetId val="4"/>
    </sheetIdMap>
  </header>
  <header guid="{426452E5-5BCB-4425-96DF-B32EE7F53820}" dateTime="2020-03-03T14:41:40" maxSheetId="5" userName="Thaiany Antunes" r:id="rId36" minRId="611">
    <sheetIdMap count="4">
      <sheetId val="2"/>
      <sheetId val="1"/>
      <sheetId val="3"/>
      <sheetId val="4"/>
    </sheetIdMap>
  </header>
  <header guid="{64A2622C-D64A-4F8F-9741-548301224A3D}" dateTime="2020-03-03T16:01:43" maxSheetId="5" userName="Thaiany Antunes" r:id="rId37" minRId="612">
    <sheetIdMap count="4">
      <sheetId val="2"/>
      <sheetId val="1"/>
      <sheetId val="3"/>
      <sheetId val="4"/>
    </sheetIdMap>
  </header>
  <header guid="{F7384B9B-5434-4521-9C71-EB773D98AAC9}" dateTime="2020-03-03T16:44:23" maxSheetId="5" userName="Fabienia Paula" r:id="rId38" minRId="613">
    <sheetIdMap count="4">
      <sheetId val="2"/>
      <sheetId val="1"/>
      <sheetId val="3"/>
      <sheetId val="4"/>
    </sheetIdMap>
  </header>
  <header guid="{0E79CBEF-8105-4001-97F7-F357F51B2539}" dateTime="2020-03-03T16:54:37" maxSheetId="5" userName="Thaiany Antunes" r:id="rId39" minRId="614">
    <sheetIdMap count="4">
      <sheetId val="2"/>
      <sheetId val="1"/>
      <sheetId val="3"/>
      <sheetId val="4"/>
    </sheetIdMap>
  </header>
  <header guid="{DCED76CE-6D26-420E-BBA0-BB36840CCB22}" dateTime="2020-03-03T17:38:46" maxSheetId="5" userName="Thaiany Antunes" r:id="rId40" minRId="615" maxRId="616">
    <sheetIdMap count="4">
      <sheetId val="2"/>
      <sheetId val="1"/>
      <sheetId val="3"/>
      <sheetId val="4"/>
    </sheetIdMap>
  </header>
  <header guid="{DEA8A2CA-6F8C-4273-9387-1E3DEEFB9197}" dateTime="2020-03-03T19:56:11" maxSheetId="5" userName="Marcela Mendes" r:id="rId41" minRId="617">
    <sheetIdMap count="4">
      <sheetId val="2"/>
      <sheetId val="1"/>
      <sheetId val="3"/>
      <sheetId val="4"/>
    </sheetIdMap>
  </header>
  <header guid="{A5EF1BB0-DF66-4A75-B456-560AC33A1F9C}" dateTime="2020-03-03T20:12:17" maxSheetId="5" userName="Marcela Mendes" r:id="rId42" minRId="620" maxRId="621">
    <sheetIdMap count="4">
      <sheetId val="2"/>
      <sheetId val="1"/>
      <sheetId val="3"/>
      <sheetId val="4"/>
    </sheetIdMap>
  </header>
  <header guid="{796721E6-F436-4584-9940-F6319A1C2779}" dateTime="2020-03-04T08:32:05" maxSheetId="5" userName="Iaskara Paulino" r:id="rId43" minRId="622" maxRId="627">
    <sheetIdMap count="4">
      <sheetId val="2"/>
      <sheetId val="1"/>
      <sheetId val="3"/>
      <sheetId val="4"/>
    </sheetIdMap>
  </header>
  <header guid="{589939AE-84D7-4B75-AB37-EDF1088354C5}" dateTime="2020-03-04T08:37:04" maxSheetId="5" userName="Thaiany Antunes" r:id="rId44" minRId="629">
    <sheetIdMap count="4">
      <sheetId val="2"/>
      <sheetId val="1"/>
      <sheetId val="3"/>
      <sheetId val="4"/>
    </sheetIdMap>
  </header>
  <header guid="{B0324060-7724-4CBB-A3CD-3C80553ACE5C}" dateTime="2020-03-04T08:39:51" maxSheetId="5" userName="Iaskara Paulino" r:id="rId45" minRId="630">
    <sheetIdMap count="4">
      <sheetId val="2"/>
      <sheetId val="1"/>
      <sheetId val="3"/>
      <sheetId val="4"/>
    </sheetIdMap>
  </header>
  <header guid="{364390E0-11C9-48B3-A03E-AC43894A555F}" dateTime="2020-03-04T11:29:45" maxSheetId="5" userName="Thaiany Antunes" r:id="rId46" minRId="633">
    <sheetIdMap count="4">
      <sheetId val="2"/>
      <sheetId val="1"/>
      <sheetId val="3"/>
      <sheetId val="4"/>
    </sheetIdMap>
  </header>
  <header guid="{20881494-1411-48BA-B8A4-0CC5C35DC597}" dateTime="2020-03-04T12:06:25" maxSheetId="5" userName="Thaiany Antunes" r:id="rId47" minRId="634">
    <sheetIdMap count="4">
      <sheetId val="2"/>
      <sheetId val="1"/>
      <sheetId val="3"/>
      <sheetId val="4"/>
    </sheetIdMap>
  </header>
  <header guid="{FE492BC4-8F37-401C-9DE2-0935C59E6AF1}" dateTime="2020-03-04T14:31:40" maxSheetId="5" userName="Thaiany Antunes" r:id="rId48" minRId="635">
    <sheetIdMap count="4">
      <sheetId val="2"/>
      <sheetId val="1"/>
      <sheetId val="3"/>
      <sheetId val="4"/>
    </sheetIdMap>
  </header>
  <header guid="{FA624A14-4A38-452A-9EE3-DBE416F133E9}" dateTime="2020-03-04T15:02:08" maxSheetId="5" userName="Fabienia Paula" r:id="rId49" minRId="636">
    <sheetIdMap count="4">
      <sheetId val="2"/>
      <sheetId val="1"/>
      <sheetId val="3"/>
      <sheetId val="4"/>
    </sheetIdMap>
  </header>
  <header guid="{13A90A55-A72F-4C84-89D6-1E86C08EDE95}" dateTime="2020-03-04T15:06:54" maxSheetId="5" userName="Thaiany Antunes" r:id="rId50" minRId="637">
    <sheetIdMap count="4">
      <sheetId val="2"/>
      <sheetId val="1"/>
      <sheetId val="3"/>
      <sheetId val="4"/>
    </sheetIdMap>
  </header>
  <header guid="{F8545FBF-72BA-4CF4-8F20-0D080A268747}" dateTime="2020-03-04T15:07:44" maxSheetId="5" userName="Thaiany Antunes" r:id="rId51" minRId="638">
    <sheetIdMap count="4">
      <sheetId val="2"/>
      <sheetId val="1"/>
      <sheetId val="3"/>
      <sheetId val="4"/>
    </sheetIdMap>
  </header>
  <header guid="{EF7A8EDF-765C-4BA3-A7E5-34EB970269CA}" dateTime="2020-03-04T15:07:44" maxSheetId="5" userName="Fabienia Paula" r:id="rId52" minRId="639">
    <sheetIdMap count="4">
      <sheetId val="2"/>
      <sheetId val="1"/>
      <sheetId val="3"/>
      <sheetId val="4"/>
    </sheetIdMap>
  </header>
  <header guid="{E5B5D624-3236-490C-9662-CC81FF7057DE}" dateTime="2020-03-04T15:09:36" maxSheetId="5" userName="Thaiany Antunes" r:id="rId53" minRId="640">
    <sheetIdMap count="4">
      <sheetId val="2"/>
      <sheetId val="1"/>
      <sheetId val="3"/>
      <sheetId val="4"/>
    </sheetIdMap>
  </header>
  <header guid="{4821FD67-FDE0-441B-9343-A6EA7BBAAC9B}" dateTime="2020-03-04T15:08:13" maxSheetId="5" userName="Fabienia Paula" r:id="rId54" minRId="641">
    <sheetIdMap count="4">
      <sheetId val="2"/>
      <sheetId val="1"/>
      <sheetId val="3"/>
      <sheetId val="4"/>
    </sheetIdMap>
  </header>
  <header guid="{EEDAA6E3-AE6F-4BD9-9B59-DA5ABDD0B1C1}" dateTime="2020-03-04T15:08:29" maxSheetId="5" userName="Fabienia Paula" r:id="rId55" minRId="642">
    <sheetIdMap count="4">
      <sheetId val="2"/>
      <sheetId val="1"/>
      <sheetId val="3"/>
      <sheetId val="4"/>
    </sheetIdMap>
  </header>
  <header guid="{F70C091B-8543-4C62-8324-D66D554F2EEB}" dateTime="2020-03-04T15:10:41" maxSheetId="5" userName="Thaiany Antunes" r:id="rId56" minRId="643">
    <sheetIdMap count="4">
      <sheetId val="2"/>
      <sheetId val="1"/>
      <sheetId val="3"/>
      <sheetId val="4"/>
    </sheetIdMap>
  </header>
  <header guid="{FBFEF012-121D-4DE2-A69D-1ED098A0B12F}" dateTime="2020-03-04T16:15:48" maxSheetId="5" userName="Thaiany Antunes" r:id="rId57" minRId="644" maxRId="650">
    <sheetIdMap count="4">
      <sheetId val="2"/>
      <sheetId val="1"/>
      <sheetId val="3"/>
      <sheetId val="4"/>
    </sheetIdMap>
  </header>
  <header guid="{DA216B9A-4D9A-4C2B-8F5E-65D38AC98751}" dateTime="2020-03-04T18:08:44" maxSheetId="5" userName="Thaiany Antunes" r:id="rId58" minRId="651" maxRId="652">
    <sheetIdMap count="4">
      <sheetId val="2"/>
      <sheetId val="1"/>
      <sheetId val="3"/>
      <sheetId val="4"/>
    </sheetIdMap>
  </header>
  <header guid="{C342A2E8-9E34-4F86-8131-6728D8893DA6}" dateTime="2020-03-04T18:19:02" maxSheetId="5" userName="Marcela Mendes" r:id="rId59" minRId="653" maxRId="1094">
    <sheetIdMap count="4">
      <sheetId val="1"/>
      <sheetId val="2"/>
      <sheetId val="3"/>
      <sheetId val="4"/>
    </sheetIdMap>
  </header>
  <header guid="{2905B9F4-0187-467D-9B54-A8FD3DBB43A5}" dateTime="2020-03-05T09:34:56" maxSheetId="5" userName="Iaskara Paulino" r:id="rId60" minRId="1095">
    <sheetIdMap count="4">
      <sheetId val="2"/>
      <sheetId val="1"/>
      <sheetId val="3"/>
      <sheetId val="4"/>
    </sheetIdMap>
  </header>
  <header guid="{A8EB4683-E289-4EA0-A34A-3F45E12A4197}" dateTime="2020-03-05T09:36:02" maxSheetId="5" userName="Iaskara Paulino" r:id="rId61" minRId="1098">
    <sheetIdMap count="4">
      <sheetId val="2"/>
      <sheetId val="1"/>
      <sheetId val="3"/>
      <sheetId val="4"/>
    </sheetIdMap>
  </header>
  <header guid="{53D52D29-F33B-4E87-8C1A-E86D5B3571AE}" dateTime="2020-03-05T10:43:09" maxSheetId="5" userName="Iaskara Paulino" r:id="rId62" minRId="1099">
    <sheetIdMap count="4">
      <sheetId val="2"/>
      <sheetId val="1"/>
      <sheetId val="3"/>
      <sheetId val="4"/>
    </sheetIdMap>
  </header>
  <header guid="{95E09A51-73D0-4918-8316-CA5B77E4FB4B}" dateTime="2020-03-05T11:00:50" maxSheetId="5" userName="Fabienia Paula" r:id="rId63" minRId="1100">
    <sheetIdMap count="4">
      <sheetId val="2"/>
      <sheetId val="1"/>
      <sheetId val="3"/>
      <sheetId val="4"/>
    </sheetIdMap>
  </header>
  <header guid="{939C19F4-F2D1-49C8-AB39-EB8163ADE42E}" dateTime="2020-03-05T11:34:50" maxSheetId="5" userName="Thaiany Antunes" r:id="rId64" minRId="1102" maxRId="1103">
    <sheetIdMap count="4">
      <sheetId val="2"/>
      <sheetId val="1"/>
      <sheetId val="3"/>
      <sheetId val="4"/>
    </sheetIdMap>
  </header>
  <header guid="{BAEDBBC8-1FD9-45C5-A513-EF48EBDFD8DB}" dateTime="2020-03-05T11:35:20" maxSheetId="5" userName="Thaiany Antunes" r:id="rId65" minRId="1104">
    <sheetIdMap count="4">
      <sheetId val="2"/>
      <sheetId val="1"/>
      <sheetId val="3"/>
      <sheetId val="4"/>
    </sheetIdMap>
  </header>
  <header guid="{3A5B0E0B-3549-430A-B9DC-5DE2669600ED}" dateTime="2020-03-05T17:03:47" maxSheetId="5" userName="Thaiany Antunes" r:id="rId66" minRId="1105">
    <sheetIdMap count="4">
      <sheetId val="2"/>
      <sheetId val="1"/>
      <sheetId val="3"/>
      <sheetId val="4"/>
    </sheetIdMap>
  </header>
  <header guid="{C953215E-FCAE-4866-B67B-8C3C3D84B716}" dateTime="2020-03-06T09:16:29" maxSheetId="5" userName="Thaiany Antunes" r:id="rId67" minRId="1106">
    <sheetIdMap count="4">
      <sheetId val="2"/>
      <sheetId val="1"/>
      <sheetId val="3"/>
      <sheetId val="4"/>
    </sheetIdMap>
  </header>
  <header guid="{CC3E1C52-7A95-4522-A8E9-B159132C7562}" dateTime="2020-03-06T09:17:32" maxSheetId="5" userName="Thaiany Antunes" r:id="rId68" minRId="1107">
    <sheetIdMap count="4">
      <sheetId val="2"/>
      <sheetId val="1"/>
      <sheetId val="3"/>
      <sheetId val="4"/>
    </sheetIdMap>
  </header>
  <header guid="{832E393B-6424-4B70-BF04-BA6C69703B97}" dateTime="2020-03-06T10:35:43" maxSheetId="5" userName="Fabienia Paula" r:id="rId69" minRId="1108">
    <sheetIdMap count="4">
      <sheetId val="2"/>
      <sheetId val="1"/>
      <sheetId val="3"/>
      <sheetId val="4"/>
    </sheetIdMap>
  </header>
  <header guid="{4656F17F-9C41-4B1A-88F3-F68A537C478F}" dateTime="2020-03-06T14:41:48" maxSheetId="5" userName="Thaiany Antunes" r:id="rId70" minRId="1109">
    <sheetIdMap count="4">
      <sheetId val="2"/>
      <sheetId val="1"/>
      <sheetId val="3"/>
      <sheetId val="4"/>
    </sheetIdMap>
  </header>
  <header guid="{A2CEAE95-652F-40E0-912C-9FE2934B17AB}" dateTime="2020-03-06T15:00:44" maxSheetId="5" userName="Marcela Mendes" r:id="rId71" minRId="1110" maxRId="1525">
    <sheetIdMap count="4">
      <sheetId val="2"/>
      <sheetId val="1"/>
      <sheetId val="3"/>
      <sheetId val="4"/>
    </sheetIdMap>
  </header>
  <header guid="{8A877836-4DF4-4E44-9980-500FE23C2CF4}" dateTime="2020-03-06T16:15:43" maxSheetId="5" userName="Marcela Mendes" r:id="rId72" minRId="1528" maxRId="1544">
    <sheetIdMap count="4">
      <sheetId val="2"/>
      <sheetId val="1"/>
      <sheetId val="3"/>
      <sheetId val="4"/>
    </sheetIdMap>
  </header>
  <header guid="{65E5269A-45D4-4F5F-B135-401A91699753}" dateTime="2020-03-06T16:16:34" maxSheetId="5" userName="Marcela Mendes" r:id="rId73">
    <sheetIdMap count="4">
      <sheetId val="2"/>
      <sheetId val="1"/>
      <sheetId val="3"/>
      <sheetId val="4"/>
    </sheetIdMap>
  </header>
  <header guid="{F68BBFD2-DB82-4B19-A991-F2A0EFA656ED}" dateTime="2020-03-09T08:24:21" maxSheetId="5" userName="Thaiany Antunes" r:id="rId74" minRId="1549" maxRId="1552">
    <sheetIdMap count="4">
      <sheetId val="2"/>
      <sheetId val="1"/>
      <sheetId val="3"/>
      <sheetId val="4"/>
    </sheetIdMap>
  </header>
  <header guid="{4113B1F3-2880-4C57-A536-6F8AA5EA9DFF}" dateTime="2020-03-09T10:25:41" maxSheetId="5" userName="Fabienia Paula" r:id="rId75" minRId="1553">
    <sheetIdMap count="4">
      <sheetId val="2"/>
      <sheetId val="1"/>
      <sheetId val="3"/>
      <sheetId val="4"/>
    </sheetIdMap>
  </header>
  <header guid="{05264326-24BA-433B-9CC9-4DBCE1C2C6E8}" dateTime="2020-03-09T11:29:52" maxSheetId="5" userName="Iaskara Paulino" r:id="rId76">
    <sheetIdMap count="4">
      <sheetId val="2"/>
      <sheetId val="1"/>
      <sheetId val="3"/>
      <sheetId val="4"/>
    </sheetIdMap>
  </header>
  <header guid="{CEBD09D3-6197-422E-BF3B-735C5AFEBEE6}" dateTime="2020-03-09T15:34:02" maxSheetId="5" userName="Thaiany Antunes" r:id="rId77" minRId="1556">
    <sheetIdMap count="4">
      <sheetId val="2"/>
      <sheetId val="1"/>
      <sheetId val="3"/>
      <sheetId val="4"/>
    </sheetIdMap>
  </header>
  <header guid="{4774E672-8230-4F53-A489-703B6E9ADCFA}" dateTime="2020-03-09T15:46:28" maxSheetId="5" userName="Fabienia Paula" r:id="rId78" minRId="1557">
    <sheetIdMap count="4">
      <sheetId val="2"/>
      <sheetId val="1"/>
      <sheetId val="3"/>
      <sheetId val="4"/>
    </sheetIdMap>
  </header>
  <header guid="{A51677D3-C2AC-4369-B18F-ED06E3DB5E60}" dateTime="2020-03-11T12:14:05" maxSheetId="5" userName="Marcela Mendes" r:id="rId79" minRId="1558" maxRId="1567">
    <sheetIdMap count="4">
      <sheetId val="2"/>
      <sheetId val="1"/>
      <sheetId val="3"/>
      <sheetId val="4"/>
    </sheetIdMap>
  </header>
  <header guid="{A9434E88-070F-46F3-A311-59C00D7F8746}" dateTime="2020-03-11T17:50:25" maxSheetId="5" userName="Marcela Mendes" r:id="rId80" minRId="1570" maxRId="1571">
    <sheetIdMap count="4">
      <sheetId val="2"/>
      <sheetId val="1"/>
      <sheetId val="3"/>
      <sheetId val="4"/>
    </sheetIdMap>
  </header>
  <header guid="{8D7ADF75-C11B-47DE-B4B1-C05AE0479406}" dateTime="2020-03-11T18:03:20" maxSheetId="5" userName="Iaskara Paulino" r:id="rId81">
    <sheetIdMap count="4">
      <sheetId val="2"/>
      <sheetId val="1"/>
      <sheetId val="3"/>
      <sheetId val="4"/>
    </sheetIdMap>
  </header>
  <header guid="{36780282-191E-4A4E-BF42-8F5A1139EFB8}" dateTime="2020-03-12T14:35:20" maxSheetId="5" userName="Iaskara Paulino" r:id="rId82" minRId="1574">
    <sheetIdMap count="4">
      <sheetId val="2"/>
      <sheetId val="1"/>
      <sheetId val="3"/>
      <sheetId val="4"/>
    </sheetIdMap>
  </header>
  <header guid="{22DF3B4A-2B10-4A92-8414-9D8CB8DB06F3}" dateTime="2020-03-12T17:10:29" maxSheetId="5" userName="Iaskara Paulino" r:id="rId83" minRId="1577">
    <sheetIdMap count="4">
      <sheetId val="2"/>
      <sheetId val="1"/>
      <sheetId val="3"/>
      <sheetId val="4"/>
    </sheetIdMap>
  </header>
  <header guid="{0E513909-4E4C-43EE-9AA8-2B098FA8357E}" dateTime="2020-03-13T10:06:47" maxSheetId="5" userName="Thaiany Antunes" r:id="rId84" minRId="1580">
    <sheetIdMap count="4">
      <sheetId val="2"/>
      <sheetId val="1"/>
      <sheetId val="3"/>
      <sheetId val="4"/>
    </sheetIdMap>
  </header>
  <header guid="{3C24ACC9-B416-4A1B-B66D-2A4ABC50265D}" dateTime="2020-03-13T10:18:32" maxSheetId="5" userName="Thaiany Antunes" r:id="rId85" minRId="1581">
    <sheetIdMap count="4">
      <sheetId val="2"/>
      <sheetId val="1"/>
      <sheetId val="3"/>
      <sheetId val="4"/>
    </sheetIdMap>
  </header>
  <header guid="{690BDC5C-5801-4E96-805B-61CDCC183EEB}" dateTime="2020-03-13T10:25:47" maxSheetId="5" userName="Marcela Mendes" r:id="rId86" minRId="1582" maxRId="1584">
    <sheetIdMap count="4">
      <sheetId val="1"/>
      <sheetId val="2"/>
      <sheetId val="3"/>
      <sheetId val="4"/>
    </sheetIdMap>
  </header>
  <header guid="{F8B57EBF-78FF-4796-B427-8C5414DDD4B3}" dateTime="2020-03-13T10:31:33" maxSheetId="5" userName="Marcela Mendes" r:id="rId87" minRId="1585">
    <sheetIdMap count="4">
      <sheetId val="1"/>
      <sheetId val="2"/>
      <sheetId val="3"/>
      <sheetId val="4"/>
    </sheetIdMap>
  </header>
  <header guid="{0D3F9896-B2E0-4EF7-9387-B3B7B837FD1E}" dateTime="2020-03-13T10:32:43" maxSheetId="5" userName="Marcela Mendes" r:id="rId88" minRId="1588">
    <sheetIdMap count="4">
      <sheetId val="1"/>
      <sheetId val="2"/>
      <sheetId val="3"/>
      <sheetId val="4"/>
    </sheetIdMap>
  </header>
  <header guid="{59D11C03-D4C8-4FF7-9C2F-0C3F3CCD2CCF}" dateTime="2020-03-13T10:40:32" maxSheetId="5" userName="Marcela Mendes" r:id="rId89" minRId="1591" maxRId="1595">
    <sheetIdMap count="4">
      <sheetId val="1"/>
      <sheetId val="2"/>
      <sheetId val="3"/>
      <sheetId val="4"/>
    </sheetIdMap>
  </header>
  <header guid="{AC407DD0-0742-4F79-9E82-C6A7B8640F86}" dateTime="2020-03-13T10:45:53" maxSheetId="5" userName="Fabienia Paula" r:id="rId90" minRId="1598">
    <sheetIdMap count="4">
      <sheetId val="2"/>
      <sheetId val="1"/>
      <sheetId val="3"/>
      <sheetId val="4"/>
    </sheetIdMap>
  </header>
  <header guid="{58814F37-2270-4791-831E-3EEE25C82099}" dateTime="2020-03-13T10:46:06" maxSheetId="5" userName="Fabienia Paula" r:id="rId91" minRId="1599">
    <sheetIdMap count="4">
      <sheetId val="2"/>
      <sheetId val="1"/>
      <sheetId val="3"/>
      <sheetId val="4"/>
    </sheetIdMap>
  </header>
  <header guid="{13025000-0288-45A8-B228-2A6537079F30}" dateTime="2020-03-13T11:15:44" maxSheetId="5" userName="Marcela Mendes" r:id="rId92" minRId="1600" maxRId="1613">
    <sheetIdMap count="4">
      <sheetId val="1"/>
      <sheetId val="2"/>
      <sheetId val="3"/>
      <sheetId val="4"/>
    </sheetIdMap>
  </header>
  <header guid="{C3151E23-2CE0-42C4-8353-24D73F7F1B89}" dateTime="2020-03-13T15:22:29" maxSheetId="5" userName="Marcela Mendes" r:id="rId93" minRId="1614" maxRId="1615">
    <sheetIdMap count="4">
      <sheetId val="1"/>
      <sheetId val="2"/>
      <sheetId val="3"/>
      <sheetId val="4"/>
    </sheetIdMap>
  </header>
  <header guid="{140D7D72-C297-49AE-A332-A2930BEC5F98}" dateTime="2020-03-13T15:24:02" maxSheetId="5" userName="Thaiany Antunes" r:id="rId94">
    <sheetIdMap count="4">
      <sheetId val="2"/>
      <sheetId val="1"/>
      <sheetId val="3"/>
      <sheetId val="4"/>
    </sheetIdMap>
  </header>
  <header guid="{49A35BB9-919B-414E-B58F-616DEEF9683F}" dateTime="2020-03-16T10:22:40" maxSheetId="5" userName="Fabienia Paula" r:id="rId95" minRId="1620" maxRId="1621">
    <sheetIdMap count="4">
      <sheetId val="2"/>
      <sheetId val="1"/>
      <sheetId val="3"/>
      <sheetId val="4"/>
    </sheetIdMap>
  </header>
  <header guid="{0E8A0D32-61C3-4392-81CD-6F2F634FD95E}" dateTime="2020-03-16T11:56:54" maxSheetId="5" userName="Fabienia Paula" r:id="rId96" minRId="1623">
    <sheetIdMap count="4">
      <sheetId val="2"/>
      <sheetId val="1"/>
      <sheetId val="3"/>
      <sheetId val="4"/>
    </sheetIdMap>
  </header>
  <header guid="{C7371105-8A29-4AF8-ABDA-85E5DC4E1C35}" dateTime="2020-03-16T11:57:21" maxSheetId="5" userName="Fabienia Paula" r:id="rId97" minRId="1626">
    <sheetIdMap count="4">
      <sheetId val="2"/>
      <sheetId val="1"/>
      <sheetId val="3"/>
      <sheetId val="4"/>
    </sheetIdMap>
  </header>
  <header guid="{2C4F7E7C-281B-42EA-B762-7A339C2FEEF3}" dateTime="2020-03-16T14:06:25" maxSheetId="5" userName="Iaskara Paulino" r:id="rId98">
    <sheetIdMap count="4">
      <sheetId val="2"/>
      <sheetId val="1"/>
      <sheetId val="3"/>
      <sheetId val="4"/>
    </sheetIdMap>
  </header>
  <header guid="{23972BB8-9342-42EE-A0E2-4B3C89DED105}" dateTime="2020-03-16T16:33:29" maxSheetId="5" userName="Iaskara Paulino" r:id="rId99" minRId="1629">
    <sheetIdMap count="4">
      <sheetId val="2"/>
      <sheetId val="1"/>
      <sheetId val="3"/>
      <sheetId val="4"/>
    </sheetIdMap>
  </header>
  <header guid="{41DD238C-F5CD-44E9-AAD4-D6E85879161B}" dateTime="2020-03-17T08:57:15" maxSheetId="5" userName="Thaiany Antunes" r:id="rId100">
    <sheetIdMap count="4">
      <sheetId val="2"/>
      <sheetId val="1"/>
      <sheetId val="3"/>
      <sheetId val="4"/>
    </sheetIdMap>
  </header>
  <header guid="{210F07A7-26E6-4BA2-AA5F-98668B8AF233}" dateTime="2020-03-17T15:59:26" maxSheetId="5" userName="Iaskara Paulino" r:id="rId101">
    <sheetIdMap count="4">
      <sheetId val="2"/>
      <sheetId val="1"/>
      <sheetId val="3"/>
      <sheetId val="4"/>
    </sheetIdMap>
  </header>
  <header guid="{F6BE703C-F755-4C92-A39B-A5D79BEBB4BB}" dateTime="2020-03-18T08:40:12" maxSheetId="5" userName="Carlos Henrique" r:id="rId102" minRId="1634">
    <sheetIdMap count="4">
      <sheetId val="2"/>
      <sheetId val="1"/>
      <sheetId val="3"/>
      <sheetId val="4"/>
    </sheetIdMap>
  </header>
  <header guid="{BFB95685-D348-42F2-9430-50C2D95722D8}" dateTime="2020-03-18T09:06:34" maxSheetId="5" userName="Carlos Henrique" r:id="rId103" minRId="1637">
    <sheetIdMap count="4">
      <sheetId val="2"/>
      <sheetId val="1"/>
      <sheetId val="3"/>
      <sheetId val="4"/>
    </sheetIdMap>
  </header>
  <header guid="{65A4593A-0AB1-4128-89CA-28A8C3A6A53E}" dateTime="2020-03-18T09:10:44" maxSheetId="5" userName="Carlos Henrique" r:id="rId104" minRId="1638">
    <sheetIdMap count="4">
      <sheetId val="2"/>
      <sheetId val="1"/>
      <sheetId val="3"/>
      <sheetId val="4"/>
    </sheetIdMap>
  </header>
  <header guid="{6F62020D-429E-40A0-9929-1CDD657812D9}" dateTime="2020-03-18T09:32:12" maxSheetId="5" userName="Carlos Henrique" r:id="rId105" minRId="1639">
    <sheetIdMap count="4">
      <sheetId val="2"/>
      <sheetId val="1"/>
      <sheetId val="3"/>
      <sheetId val="4"/>
    </sheetIdMap>
  </header>
  <header guid="{A57C5759-6173-48E4-9425-6807A12AD597}" dateTime="2020-03-18T09:41:21" maxSheetId="5" userName="Carlos Henrique" r:id="rId106" minRId="1640">
    <sheetIdMap count="4">
      <sheetId val="2"/>
      <sheetId val="1"/>
      <sheetId val="3"/>
      <sheetId val="4"/>
    </sheetIdMap>
  </header>
  <header guid="{911DC4F8-E379-4670-9580-A435F69EBE9B}" dateTime="2020-03-18T10:05:30" maxSheetId="5" userName="Iaskara Paulino" r:id="rId107">
    <sheetIdMap count="4">
      <sheetId val="2"/>
      <sheetId val="1"/>
      <sheetId val="3"/>
      <sheetId val="4"/>
    </sheetIdMap>
  </header>
  <header guid="{BA2946D0-8C6A-44E2-9FB8-EF756A9F2F73}" dateTime="2020-03-18T10:30:27" maxSheetId="5" userName="Thaiany Antunes" r:id="rId108" minRId="1643" maxRId="1644">
    <sheetIdMap count="4">
      <sheetId val="2"/>
      <sheetId val="1"/>
      <sheetId val="3"/>
      <sheetId val="4"/>
    </sheetIdMap>
  </header>
  <header guid="{E6D173F6-2841-4F0E-9E54-4219838B6ABC}" dateTime="2020-03-18T10:33:08" maxSheetId="5" userName="Carlos Henrique" r:id="rId109" minRId="1645" maxRId="1646">
    <sheetIdMap count="4">
      <sheetId val="2"/>
      <sheetId val="1"/>
      <sheetId val="3"/>
      <sheetId val="4"/>
    </sheetIdMap>
  </header>
  <header guid="{E2D0801F-31B5-4C98-892D-4790B5591289}" dateTime="2020-03-18T10:59:29" maxSheetId="5" userName="Carlos Henrique" r:id="rId110" minRId="1647" maxRId="1652">
    <sheetIdMap count="4">
      <sheetId val="2"/>
      <sheetId val="1"/>
      <sheetId val="3"/>
      <sheetId val="4"/>
    </sheetIdMap>
  </header>
  <header guid="{4C6990D1-059A-40A6-AE59-5A54CBC71F92}" dateTime="2020-03-19T09:22:42" maxSheetId="5" userName="Carlos Henrique" r:id="rId111" minRId="1653">
    <sheetIdMap count="4">
      <sheetId val="2"/>
      <sheetId val="1"/>
      <sheetId val="3"/>
      <sheetId val="4"/>
    </sheetIdMap>
  </header>
  <header guid="{6620F704-B996-4CAD-857F-7A7BF3C22A70}" dateTime="2020-03-19T15:17:31" maxSheetId="5" userName="Fabienia Paula" r:id="rId112" minRId="1654">
    <sheetIdMap count="4">
      <sheetId val="2"/>
      <sheetId val="1"/>
      <sheetId val="3"/>
      <sheetId val="4"/>
    </sheetIdMap>
  </header>
  <header guid="{064F6B8B-41BD-4F88-99B9-AF65B22DA4B2}" dateTime="2020-03-20T10:10:12" maxSheetId="5" userName="Iaskara Paulino" r:id="rId113">
    <sheetIdMap count="4">
      <sheetId val="2"/>
      <sheetId val="1"/>
      <sheetId val="3"/>
      <sheetId val="4"/>
    </sheetIdMap>
  </header>
  <header guid="{A88CBD96-A67E-4488-8919-FD72C2AAAC6A}" dateTime="2020-03-23T08:34:18" maxSheetId="5" userName="Carlos Henrique" r:id="rId114" minRId="1658" maxRId="1659">
    <sheetIdMap count="4">
      <sheetId val="2"/>
      <sheetId val="1"/>
      <sheetId val="3"/>
      <sheetId val="4"/>
    </sheetIdMap>
  </header>
  <header guid="{3C4CF50C-6D94-4B16-800C-8879969EC36A}" dateTime="2020-03-23T14:42:27" maxSheetId="5" userName="Carlos Henrique" r:id="rId115" minRId="1660" maxRId="1661">
    <sheetIdMap count="4">
      <sheetId val="2"/>
      <sheetId val="1"/>
      <sheetId val="3"/>
      <sheetId val="4"/>
    </sheetIdMap>
  </header>
  <header guid="{6B05D693-BCB0-4792-9424-DBA5ACB3E3A9}" dateTime="2020-03-23T14:57:58" maxSheetId="5" userName="Carlos Henrique" r:id="rId116" minRId="1662">
    <sheetIdMap count="4">
      <sheetId val="2"/>
      <sheetId val="1"/>
      <sheetId val="3"/>
      <sheetId val="4"/>
    </sheetIdMap>
  </header>
  <header guid="{FFC0BA04-7E13-47FA-B657-F2C33740ECC6}" dateTime="2020-03-23T15:56:48" maxSheetId="5" userName="Carlos Henrique" r:id="rId117" minRId="1663" maxRId="1664">
    <sheetIdMap count="4">
      <sheetId val="2"/>
      <sheetId val="1"/>
      <sheetId val="3"/>
      <sheetId val="4"/>
    </sheetIdMap>
  </header>
  <header guid="{6ED14950-C101-4E37-B5D3-00AA906F8289}" dateTime="2020-03-23T16:34:17" maxSheetId="5" userName="Carlos Henrique" r:id="rId118" minRId="1665" maxRId="1666">
    <sheetIdMap count="4">
      <sheetId val="2"/>
      <sheetId val="1"/>
      <sheetId val="3"/>
      <sheetId val="4"/>
    </sheetIdMap>
  </header>
  <header guid="{8C41F29B-1209-4ACB-A3E6-13E375065907}" dateTime="2020-03-24T14:54:28" maxSheetId="5" userName="Marcela Mendes" r:id="rId119" minRId="1667" maxRId="1669">
    <sheetIdMap count="4">
      <sheetId val="2"/>
      <sheetId val="1"/>
      <sheetId val="3"/>
      <sheetId val="4"/>
    </sheetIdMap>
  </header>
  <header guid="{0FAEFE96-FA2B-4D47-A5B1-5E45A62B76AE}" dateTime="2020-03-24T15:43:29" maxSheetId="5" userName="Marcela Mendes" r:id="rId120" minRId="1670" maxRId="1671">
    <sheetIdMap count="4">
      <sheetId val="2"/>
      <sheetId val="1"/>
      <sheetId val="3"/>
      <sheetId val="4"/>
    </sheetIdMap>
  </header>
  <header guid="{3FA0C7F7-5E7F-48BC-A2FF-8C4A50FBCBF2}" dateTime="2020-03-25T09:42:17" maxSheetId="5" userName="Marcela Mendes" r:id="rId121">
    <sheetIdMap count="4">
      <sheetId val="2"/>
      <sheetId val="1"/>
      <sheetId val="3"/>
      <sheetId val="4"/>
    </sheetIdMap>
  </header>
  <header guid="{95A2BEE6-EF45-4B1A-BDAE-01F292C05A18}" dateTime="2020-03-25T10:53:30" maxSheetId="5" userName="Marcela Mendes" r:id="rId122" minRId="1675">
    <sheetIdMap count="4">
      <sheetId val="2"/>
      <sheetId val="1"/>
      <sheetId val="3"/>
      <sheetId val="4"/>
    </sheetIdMap>
  </header>
  <header guid="{E03C9F1A-41A6-4444-8349-E4720F3FC441}" dateTime="2020-03-25T10:56:33" maxSheetId="5" userName="Carlos Henrique" r:id="rId123" minRId="1676" maxRId="1679">
    <sheetIdMap count="4">
      <sheetId val="2"/>
      <sheetId val="1"/>
      <sheetId val="3"/>
      <sheetId val="4"/>
    </sheetIdMap>
  </header>
  <header guid="{CE601716-DBF5-4D77-866F-8F9B98377605}" dateTime="2020-03-25T11:33:17" maxSheetId="5" userName="Marcela Mendes" r:id="rId124" minRId="1680">
    <sheetIdMap count="4">
      <sheetId val="2"/>
      <sheetId val="1"/>
      <sheetId val="3"/>
      <sheetId val="4"/>
    </sheetIdMap>
  </header>
  <header guid="{BD7A735B-6492-4E8B-B0CA-29FE16D712E8}" dateTime="2020-03-25T11:33:37" maxSheetId="5" userName="Marcela Mendes" r:id="rId125">
    <sheetIdMap count="4">
      <sheetId val="2"/>
      <sheetId val="1"/>
      <sheetId val="3"/>
      <sheetId val="4"/>
    </sheetIdMap>
  </header>
  <header guid="{C2FDA557-9F47-4293-A5AB-C6509B60722D}" dateTime="2020-03-25T15:00:34" maxSheetId="5" userName="Marcela Mendes" r:id="rId126" minRId="1681">
    <sheetIdMap count="4">
      <sheetId val="2"/>
      <sheetId val="1"/>
      <sheetId val="3"/>
      <sheetId val="4"/>
    </sheetIdMap>
  </header>
  <header guid="{AC2FE114-09EE-43F0-B32C-0A6BBBA09642}" dateTime="2020-03-25T15:27:21" maxSheetId="5" userName="Marcela Mendes" r:id="rId127" minRId="1682">
    <sheetIdMap count="4">
      <sheetId val="2"/>
      <sheetId val="1"/>
      <sheetId val="3"/>
      <sheetId val="4"/>
    </sheetIdMap>
  </header>
  <header guid="{31C81682-6704-4A5E-BF9C-4AD1BA7C4619}" dateTime="2020-03-25T15:34:01" maxSheetId="5" userName="Marcela Mendes" r:id="rId128" minRId="1683">
    <sheetIdMap count="4">
      <sheetId val="2"/>
      <sheetId val="1"/>
      <sheetId val="3"/>
      <sheetId val="4"/>
    </sheetIdMap>
  </header>
  <header guid="{8A87FCF5-7030-407B-B4F2-21BCB31D4B5B}" dateTime="2020-03-25T16:03:02" maxSheetId="5" userName="Marcela Mendes" r:id="rId129" minRId="1684">
    <sheetIdMap count="4">
      <sheetId val="2"/>
      <sheetId val="1"/>
      <sheetId val="3"/>
      <sheetId val="4"/>
    </sheetIdMap>
  </header>
  <header guid="{8E04B367-3365-4319-8D37-D29B8137CA7B}" dateTime="2020-03-25T16:17:41" maxSheetId="5" userName="Marcela Mendes" r:id="rId130" minRId="1685">
    <sheetIdMap count="4">
      <sheetId val="2"/>
      <sheetId val="1"/>
      <sheetId val="3"/>
      <sheetId val="4"/>
    </sheetIdMap>
  </header>
  <header guid="{4CF7F93B-0318-4476-B77E-C25A43DE66C4}" dateTime="2020-03-25T16:19:17" maxSheetId="5" userName="Marcela Mendes" r:id="rId131" minRId="1689" maxRId="1690">
    <sheetIdMap count="4">
      <sheetId val="2"/>
      <sheetId val="1"/>
      <sheetId val="3"/>
      <sheetId val="4"/>
    </sheetIdMap>
  </header>
  <header guid="{BD2F8528-E9B7-48A0-987C-811F93F29994}" dateTime="2020-03-25T19:41:49" maxSheetId="5" userName="Marcela Mendes" r:id="rId132" minRId="1691" maxRId="1698">
    <sheetIdMap count="4">
      <sheetId val="2"/>
      <sheetId val="1"/>
      <sheetId val="3"/>
      <sheetId val="4"/>
    </sheetIdMap>
  </header>
  <header guid="{7FC293C9-F7BF-49A9-961C-D63E06590BBC}" dateTime="2020-03-26T08:41:46" maxSheetId="5" userName="Carlos Henrique" r:id="rId133" minRId="1699">
    <sheetIdMap count="4">
      <sheetId val="2"/>
      <sheetId val="1"/>
      <sheetId val="3"/>
      <sheetId val="4"/>
    </sheetIdMap>
  </header>
  <header guid="{F0AF6425-1031-4B40-8A3C-358BB9496907}" dateTime="2020-03-26T11:30:57" maxSheetId="5" userName="Thaiany Antunes" r:id="rId134" minRId="1703">
    <sheetIdMap count="4">
      <sheetId val="2"/>
      <sheetId val="1"/>
      <sheetId val="3"/>
      <sheetId val="4"/>
    </sheetIdMap>
  </header>
  <header guid="{6AFF0F4D-D9E7-4D98-B2AC-4E0816594D88}" dateTime="2020-03-26T11:48:20" maxSheetId="5" userName="Iaskara Paulino" r:id="rId135" minRId="1704">
    <sheetIdMap count="4">
      <sheetId val="2"/>
      <sheetId val="1"/>
      <sheetId val="3"/>
      <sheetId val="4"/>
    </sheetIdMap>
  </header>
  <header guid="{B445A982-2376-49F6-815B-A7E3285A5876}" dateTime="2020-03-26T11:49:44" maxSheetId="5" userName="Iaskara Paulino" r:id="rId136" minRId="1708">
    <sheetIdMap count="4">
      <sheetId val="2"/>
      <sheetId val="1"/>
      <sheetId val="3"/>
      <sheetId val="4"/>
    </sheetIdMap>
  </header>
  <header guid="{E75DF944-FC05-4D13-92C3-5CC9AAAE3D62}" dateTime="2020-03-26T17:13:22" maxSheetId="5" userName="Sullaine Nascimento" r:id="rId137" minRId="1709" maxRId="1718">
    <sheetIdMap count="4">
      <sheetId val="2"/>
      <sheetId val="1"/>
      <sheetId val="3"/>
      <sheetId val="4"/>
    </sheetIdMap>
  </header>
  <header guid="{B8CE1094-EB30-4AC3-8E85-3B1C115103AE}" dateTime="2020-03-26T18:25:12" maxSheetId="5" userName="Carlos Henrique" r:id="rId138" minRId="1721">
    <sheetIdMap count="4">
      <sheetId val="2"/>
      <sheetId val="1"/>
      <sheetId val="3"/>
      <sheetId val="4"/>
    </sheetIdMap>
  </header>
  <header guid="{27715FC8-6B75-4B88-9EF4-5F3704A47A6A}" dateTime="2020-03-27T10:42:49" maxSheetId="5" userName="Thaiany Antunes" r:id="rId139" minRId="1722">
    <sheetIdMap count="4">
      <sheetId val="2"/>
      <sheetId val="1"/>
      <sheetId val="3"/>
      <sheetId val="4"/>
    </sheetIdMap>
  </header>
  <header guid="{295A5AAF-0B1E-4D55-899A-EA1308B1FF5F}" dateTime="2020-03-27T11:05:31" maxSheetId="5" userName="Thaiany Antunes" r:id="rId140" minRId="1723">
    <sheetIdMap count="4">
      <sheetId val="2"/>
      <sheetId val="1"/>
      <sheetId val="3"/>
      <sheetId val="4"/>
    </sheetIdMap>
  </header>
  <header guid="{7934C8D7-5D47-4EA2-A564-27D0719D54A0}" dateTime="2020-03-27T11:09:37" maxSheetId="5" userName="Thaiany Antunes" r:id="rId141" minRId="1724">
    <sheetIdMap count="4">
      <sheetId val="2"/>
      <sheetId val="1"/>
      <sheetId val="3"/>
      <sheetId val="4"/>
    </sheetIdMap>
  </header>
  <header guid="{1C9EB9EA-02E4-4353-9F49-A0EB8612A761}" dateTime="2020-03-27T11:55:11" maxSheetId="5" userName="Thaiany Antunes" r:id="rId142" minRId="1725" maxRId="1727">
    <sheetIdMap count="4">
      <sheetId val="2"/>
      <sheetId val="1"/>
      <sheetId val="3"/>
      <sheetId val="4"/>
    </sheetIdMap>
  </header>
  <header guid="{3DA8E01F-298E-46E2-8D63-5AC3A7FEEC2A}" dateTime="2020-03-27T11:55:55" maxSheetId="5" userName="Thaiany Antunes" r:id="rId143" minRId="1728">
    <sheetIdMap count="4">
      <sheetId val="2"/>
      <sheetId val="1"/>
      <sheetId val="3"/>
      <sheetId val="4"/>
    </sheetIdMap>
  </header>
  <header guid="{D8B119CA-0927-4F30-A9DD-F4546703C112}" dateTime="2020-03-27T12:10:34" maxSheetId="5" userName="Sullaine Nascimento" r:id="rId144" minRId="1729" maxRId="2635">
    <sheetIdMap count="4">
      <sheetId val="2"/>
      <sheetId val="1"/>
      <sheetId val="3"/>
      <sheetId val="4"/>
    </sheetIdMap>
  </header>
  <header guid="{90F467E7-EE48-418D-82EB-C968073D96E6}" dateTime="2020-03-27T12:11:49" maxSheetId="5" userName="Sullaine Nascimento" r:id="rId145" minRId="2636" maxRId="2639">
    <sheetIdMap count="4">
      <sheetId val="2"/>
      <sheetId val="1"/>
      <sheetId val="3"/>
      <sheetId val="4"/>
    </sheetIdMap>
  </header>
  <header guid="{4333FF57-AA3D-4DCB-B5C2-7ABABDB11ADF}" dateTime="2020-03-27T12:17:55" maxSheetId="5" userName="Sullaine Nascimento" r:id="rId146" minRId="2640" maxRId="2668">
    <sheetIdMap count="4">
      <sheetId val="2"/>
      <sheetId val="1"/>
      <sheetId val="3"/>
      <sheetId val="4"/>
    </sheetIdMap>
  </header>
  <header guid="{AFE9BE40-E250-44AD-8532-CC3C6650E137}" dateTime="2020-03-27T13:11:18" maxSheetId="5" userName="Sullaine Nascimento" r:id="rId147" minRId="2669" maxRId="2881">
    <sheetIdMap count="4">
      <sheetId val="2"/>
      <sheetId val="1"/>
      <sheetId val="3"/>
      <sheetId val="4"/>
    </sheetIdMap>
  </header>
  <header guid="{4A758DA7-B709-4F98-AE15-1B9F72E4CF16}" dateTime="2020-03-27T13:26:07" maxSheetId="5" userName="Sullaine Nascimento" r:id="rId148" minRId="2882" maxRId="2949">
    <sheetIdMap count="4">
      <sheetId val="2"/>
      <sheetId val="1"/>
      <sheetId val="3"/>
      <sheetId val="4"/>
    </sheetIdMap>
  </header>
  <header guid="{27B29360-305D-4273-B303-6D3732B48813}" dateTime="2020-03-27T13:29:23" maxSheetId="5" userName="Sullaine Nascimento" r:id="rId149" minRId="2950" maxRId="2972">
    <sheetIdMap count="4">
      <sheetId val="2"/>
      <sheetId val="1"/>
      <sheetId val="3"/>
      <sheetId val="4"/>
    </sheetIdMap>
  </header>
  <header guid="{C209D8BD-2BA1-47DF-B98F-E2BA9E9C4CC5}" dateTime="2020-03-27T14:05:03" maxSheetId="5" userName="Sullaine Nascimento" r:id="rId150" minRId="2973" maxRId="3150">
    <sheetIdMap count="4">
      <sheetId val="2"/>
      <sheetId val="1"/>
      <sheetId val="3"/>
      <sheetId val="4"/>
    </sheetIdMap>
  </header>
  <header guid="{B83D52F3-B153-413A-8E70-75563EE11953}" dateTime="2020-03-27T14:32:18" maxSheetId="5" userName="Sullaine Nascimento" r:id="rId151" minRId="3151" maxRId="3288">
    <sheetIdMap count="4">
      <sheetId val="2"/>
      <sheetId val="1"/>
      <sheetId val="3"/>
      <sheetId val="4"/>
    </sheetIdMap>
  </header>
  <header guid="{54B5E2B3-83DC-4FE4-AF08-C51C26067D39}" dateTime="2020-03-27T14:54:12" maxSheetId="5" userName="Thaiany Antunes" r:id="rId152" minRId="3291">
    <sheetIdMap count="4">
      <sheetId val="2"/>
      <sheetId val="1"/>
      <sheetId val="3"/>
      <sheetId val="4"/>
    </sheetIdMap>
  </header>
  <header guid="{AB80B017-8E8A-4062-8814-B7EF39B305C8}" dateTime="2020-03-27T14:55:40" maxSheetId="5" userName="Thaiany Antunes" r:id="rId153" minRId="3295">
    <sheetIdMap count="4">
      <sheetId val="2"/>
      <sheetId val="1"/>
      <sheetId val="3"/>
      <sheetId val="4"/>
    </sheetIdMap>
  </header>
  <header guid="{2DD06E9C-50F6-460C-A191-29497E72FB42}" dateTime="2020-03-27T14:59:18" maxSheetId="5" userName="Thaiany Antunes" r:id="rId154" minRId="3296">
    <sheetIdMap count="4">
      <sheetId val="2"/>
      <sheetId val="1"/>
      <sheetId val="3"/>
      <sheetId val="4"/>
    </sheetIdMap>
  </header>
  <header guid="{C9A01FED-C01A-4991-A25A-08EB5DAD6309}" dateTime="2020-03-27T14:58:53" maxSheetId="5" userName="Sullaine Nascimento" r:id="rId155" minRId="3297" maxRId="3431">
    <sheetIdMap count="4">
      <sheetId val="2"/>
      <sheetId val="1"/>
      <sheetId val="3"/>
      <sheetId val="4"/>
    </sheetIdMap>
  </header>
  <header guid="{4C5FEF5E-2EFB-4585-956A-8A65898E58AA}" dateTime="2020-03-27T15:48:34" maxSheetId="5" userName="Sullaine Nascimento" r:id="rId156" minRId="3434" maxRId="3688">
    <sheetIdMap count="4">
      <sheetId val="2"/>
      <sheetId val="1"/>
      <sheetId val="3"/>
      <sheetId val="4"/>
    </sheetIdMap>
  </header>
  <header guid="{C24BFA80-5A73-4389-A271-CB96601C243B}" dateTime="2020-03-27T16:11:12" maxSheetId="5" userName="Sullaine Nascimento" r:id="rId157" minRId="3691" maxRId="3817">
    <sheetIdMap count="4">
      <sheetId val="2"/>
      <sheetId val="1"/>
      <sheetId val="3"/>
      <sheetId val="4"/>
    </sheetIdMap>
  </header>
  <header guid="{64AB364C-8E45-4FB2-8CD6-BD2A7A1A60AD}" dateTime="2020-03-27T16:13:42" maxSheetId="5" userName="Sullaine Nascimento" r:id="rId158" minRId="3820" maxRId="3821">
    <sheetIdMap count="4">
      <sheetId val="2"/>
      <sheetId val="1"/>
      <sheetId val="3"/>
      <sheetId val="4"/>
    </sheetIdMap>
  </header>
  <header guid="{AE3BA132-AA01-4B42-9E8E-87B40639E7D5}" dateTime="2020-03-27T16:20:25" maxSheetId="5" userName="Sullaine Nascimento" r:id="rId159" minRId="3822" maxRId="3824">
    <sheetIdMap count="4">
      <sheetId val="2"/>
      <sheetId val="1"/>
      <sheetId val="3"/>
      <sheetId val="4"/>
    </sheetIdMap>
  </header>
  <header guid="{7A2CF2D5-2DB6-400A-99B8-54245A44D86A}" dateTime="2020-03-27T16:21:45" maxSheetId="5" userName="Sullaine Nascimento" r:id="rId160" minRId="3825" maxRId="3827">
    <sheetIdMap count="4">
      <sheetId val="2"/>
      <sheetId val="1"/>
      <sheetId val="3"/>
      <sheetId val="4"/>
    </sheetIdMap>
  </header>
  <header guid="{53A3477A-99CC-4658-A056-B7A512B2539A}" dateTime="2020-03-27T16:26:44" maxSheetId="5" userName="Sullaine Nascimento" r:id="rId161" minRId="3828" maxRId="3838">
    <sheetIdMap count="4">
      <sheetId val="2"/>
      <sheetId val="1"/>
      <sheetId val="3"/>
      <sheetId val="4"/>
    </sheetIdMap>
  </header>
  <header guid="{C88FC4C9-5EB1-4978-94CF-EFEA572CBB45}" dateTime="2020-03-27T16:39:42" maxSheetId="5" userName="Thaiany Antunes" r:id="rId162" minRId="3839">
    <sheetIdMap count="4">
      <sheetId val="2"/>
      <sheetId val="1"/>
      <sheetId val="3"/>
      <sheetId val="4"/>
    </sheetIdMap>
  </header>
  <header guid="{00D50180-D714-470F-8810-087572843490}" dateTime="2020-03-27T18:20:02" maxSheetId="5" userName="Fabienia Paula" r:id="rId163" minRId="3843" maxRId="3846">
    <sheetIdMap count="4">
      <sheetId val="2"/>
      <sheetId val="1"/>
      <sheetId val="3"/>
      <sheetId val="4"/>
    </sheetIdMap>
  </header>
  <header guid="{E6878056-E23C-4B68-83F9-3BCCB0CDBCA9}" dateTime="2020-03-27T18:20:24" maxSheetId="5" userName="Fabienia Paula" r:id="rId164" minRId="3850">
    <sheetIdMap count="4">
      <sheetId val="2"/>
      <sheetId val="1"/>
      <sheetId val="3"/>
      <sheetId val="4"/>
    </sheetIdMap>
  </header>
  <header guid="{662A198F-71A7-47A5-AB9A-7F123F828900}" dateTime="2020-03-30T08:15:33" maxSheetId="5" userName="Thaiany Antunes" r:id="rId165" minRId="3851">
    <sheetIdMap count="4">
      <sheetId val="2"/>
      <sheetId val="1"/>
      <sheetId val="3"/>
      <sheetId val="4"/>
    </sheetIdMap>
  </header>
  <header guid="{5C5C972B-4BD2-479F-A11B-C94B4BA64489}" dateTime="2020-03-30T08:18:35" maxSheetId="5" userName="Thaiany Antunes" r:id="rId166" minRId="3855" maxRId="3856">
    <sheetIdMap count="4">
      <sheetId val="2"/>
      <sheetId val="1"/>
      <sheetId val="3"/>
      <sheetId val="4"/>
    </sheetIdMap>
  </header>
  <header guid="{016A4AF2-1E6B-405C-B79E-A9746C63E38A}" dateTime="2020-03-30T08:19:35" maxSheetId="5" userName="Thaiany Antunes" r:id="rId167" minRId="3857" maxRId="3859">
    <sheetIdMap count="4">
      <sheetId val="2"/>
      <sheetId val="1"/>
      <sheetId val="3"/>
      <sheetId val="4"/>
    </sheetIdMap>
  </header>
  <header guid="{592C3073-371F-46B3-87B2-0BA64FA4420C}" dateTime="2020-03-30T08:27:38" maxSheetId="5" userName="Thaiany Antunes" r:id="rId168" minRId="3860">
    <sheetIdMap count="4">
      <sheetId val="2"/>
      <sheetId val="1"/>
      <sheetId val="3"/>
      <sheetId val="4"/>
    </sheetIdMap>
  </header>
  <header guid="{0CBF7567-E908-4FB8-933F-173C26321845}" dateTime="2020-03-30T09:27:37" maxSheetId="5" userName="Marcela Mendes" r:id="rId169" minRId="3861">
    <sheetIdMap count="4">
      <sheetId val="2"/>
      <sheetId val="1"/>
      <sheetId val="3"/>
      <sheetId val="4"/>
    </sheetIdMap>
  </header>
  <header guid="{91EDCC1F-CB80-4031-BDDB-9C1A0FEC7167}" dateTime="2020-03-30T09:29:53" maxSheetId="5" userName="Thaiany Antunes" r:id="rId170" minRId="3865" maxRId="3866">
    <sheetIdMap count="4">
      <sheetId val="2"/>
      <sheetId val="1"/>
      <sheetId val="3"/>
      <sheetId val="4"/>
    </sheetIdMap>
  </header>
  <header guid="{73D977E3-BDAA-4A92-A2D2-CCDA9C68A183}" dateTime="2020-03-30T09:34:20" maxSheetId="5" userName="Carlos Henrique" r:id="rId171" minRId="3867" maxRId="3871">
    <sheetIdMap count="4">
      <sheetId val="2"/>
      <sheetId val="1"/>
      <sheetId val="3"/>
      <sheetId val="4"/>
    </sheetIdMap>
  </header>
  <header guid="{CD1DB128-952A-4586-AC81-DE0F840D3766}" dateTime="2020-03-30T09:33:27" maxSheetId="5" userName="Fabienia Paula" r:id="rId172" minRId="3872">
    <sheetIdMap count="4">
      <sheetId val="2"/>
      <sheetId val="1"/>
      <sheetId val="3"/>
      <sheetId val="4"/>
    </sheetIdMap>
  </header>
  <header guid="{0A11DE1F-EADC-4EF0-AA23-49F9C1977EA2}" dateTime="2020-03-30T09:40:38" maxSheetId="5" userName="Carlos Henrique" r:id="rId173" minRId="3873" maxRId="3874">
    <sheetIdMap count="4">
      <sheetId val="2"/>
      <sheetId val="1"/>
      <sheetId val="3"/>
      <sheetId val="4"/>
    </sheetIdMap>
  </header>
  <header guid="{21570EE6-29A0-405A-9C4E-EFE5C4D2BE7A}" dateTime="2020-03-30T09:55:09" maxSheetId="5" userName="Fabienia Paula" r:id="rId174" minRId="3875" maxRId="3876">
    <sheetIdMap count="4">
      <sheetId val="2"/>
      <sheetId val="1"/>
      <sheetId val="3"/>
      <sheetId val="4"/>
    </sheetIdMap>
  </header>
  <header guid="{4E4CA4F9-8C63-426A-9366-1EA389F8D2EF}" dateTime="2020-03-30T10:30:13" maxSheetId="5" userName="Iaskara Paulino" r:id="rId175" minRId="3877" maxRId="3879">
    <sheetIdMap count="4">
      <sheetId val="2"/>
      <sheetId val="1"/>
      <sheetId val="3"/>
      <sheetId val="4"/>
    </sheetIdMap>
  </header>
  <header guid="{2C540D27-773C-4929-B55F-B4F0DD5EA8D5}" dateTime="2020-03-30T11:08:41" maxSheetId="5" userName="Carlos Henrique" r:id="rId176" minRId="3880">
    <sheetIdMap count="4">
      <sheetId val="2"/>
      <sheetId val="1"/>
      <sheetId val="3"/>
      <sheetId val="4"/>
    </sheetIdMap>
  </header>
  <header guid="{A416B823-07AB-4966-8CB9-020DCDED85FA}" dateTime="2020-03-30T11:06:42" maxSheetId="5" userName="Fabienia Paula" r:id="rId177" minRId="3881">
    <sheetIdMap count="4">
      <sheetId val="2"/>
      <sheetId val="1"/>
      <sheetId val="3"/>
      <sheetId val="4"/>
    </sheetIdMap>
  </header>
  <header guid="{9EAE1F26-BE8D-4E81-9E24-E72E9FCE9A3C}" dateTime="2020-03-30T11:06:55" maxSheetId="5" userName="Fabienia Paula" r:id="rId178" minRId="3882">
    <sheetIdMap count="4">
      <sheetId val="2"/>
      <sheetId val="1"/>
      <sheetId val="3"/>
      <sheetId val="4"/>
    </sheetIdMap>
  </header>
  <header guid="{E9DE294A-4124-4FD5-9522-F8C5476D8E1D}" dateTime="2020-03-30T12:06:54" maxSheetId="5" userName="Thaiany Antunes" r:id="rId179" minRId="3883">
    <sheetIdMap count="4">
      <sheetId val="2"/>
      <sheetId val="1"/>
      <sheetId val="3"/>
      <sheetId val="4"/>
    </sheetIdMap>
  </header>
  <header guid="{DBEC39D4-0F84-4219-9DA3-66320AE519B6}" dateTime="2020-03-30T12:13:36" maxSheetId="5" userName="Thaiany Antunes" r:id="rId180" minRId="3884">
    <sheetIdMap count="4">
      <sheetId val="2"/>
      <sheetId val="1"/>
      <sheetId val="3"/>
      <sheetId val="4"/>
    </sheetIdMap>
  </header>
  <header guid="{B1EFE16B-844B-4C38-928E-5EF7ECE6FDFF}" dateTime="2020-03-30T14:35:48" maxSheetId="5" userName="Carlos Henrique" r:id="rId181" minRId="3885">
    <sheetIdMap count="4">
      <sheetId val="2"/>
      <sheetId val="1"/>
      <sheetId val="3"/>
      <sheetId val="4"/>
    </sheetIdMap>
  </header>
  <header guid="{08A0AFD5-381E-4CC9-82B6-76E3FF958F3A}" dateTime="2020-03-30T14:37:37" maxSheetId="5" userName="Carlos Henrique" r:id="rId182" minRId="3886" maxRId="3887">
    <sheetIdMap count="4">
      <sheetId val="2"/>
      <sheetId val="1"/>
      <sheetId val="3"/>
      <sheetId val="4"/>
    </sheetIdMap>
  </header>
  <header guid="{D3D7B972-71E2-4EA5-AED7-FB2A06A037C5}" dateTime="2020-03-30T15:25:11" maxSheetId="5" userName="Carlos Henrique" r:id="rId183" minRId="3888" maxRId="3889">
    <sheetIdMap count="4">
      <sheetId val="2"/>
      <sheetId val="1"/>
      <sheetId val="3"/>
      <sheetId val="4"/>
    </sheetIdMap>
  </header>
  <header guid="{AB48A98F-2718-4BB8-8923-71A47F391C66}" dateTime="2020-03-30T15:28:36" maxSheetId="5" userName="Carlos Henrique" r:id="rId184" minRId="3890" maxRId="3891">
    <sheetIdMap count="4">
      <sheetId val="2"/>
      <sheetId val="1"/>
      <sheetId val="3"/>
      <sheetId val="4"/>
    </sheetIdMap>
  </header>
  <header guid="{102B0D56-2A95-48A9-987F-D38DA937860B}" dateTime="2020-03-30T15:39:48" maxSheetId="5" userName="Carlos Henrique" r:id="rId185" minRId="3892">
    <sheetIdMap count="4">
      <sheetId val="2"/>
      <sheetId val="1"/>
      <sheetId val="3"/>
      <sheetId val="4"/>
    </sheetIdMap>
  </header>
  <header guid="{2993A149-010D-449D-A189-6E304EF467B8}" dateTime="2020-03-30T15:41:39" maxSheetId="5" userName="Carlos Henrique" r:id="rId186" minRId="3893">
    <sheetIdMap count="4">
      <sheetId val="2"/>
      <sheetId val="1"/>
      <sheetId val="3"/>
      <sheetId val="4"/>
    </sheetIdMap>
  </header>
  <header guid="{3256BDB6-6AB5-40B9-88F5-2F29216383F3}" dateTime="2020-03-30T15:50:00" maxSheetId="5" userName="Carlos Henrique" r:id="rId187" minRId="3894">
    <sheetIdMap count="4">
      <sheetId val="2"/>
      <sheetId val="1"/>
      <sheetId val="3"/>
      <sheetId val="4"/>
    </sheetIdMap>
  </header>
  <header guid="{1BE2CD40-7944-49B7-A09C-321E754C587C}" dateTime="2020-03-30T16:28:32" maxSheetId="5" userName="Carlos Henrique" r:id="rId188" minRId="3895">
    <sheetIdMap count="4">
      <sheetId val="2"/>
      <sheetId val="1"/>
      <sheetId val="3"/>
      <sheetId val="4"/>
    </sheetIdMap>
  </header>
  <header guid="{09FD80A0-93F2-497E-957A-B8907BD79B8A}" dateTime="2020-03-30T16:29:15" maxSheetId="5" userName="Carlos Henrique" r:id="rId189" minRId="3896">
    <sheetIdMap count="4">
      <sheetId val="2"/>
      <sheetId val="1"/>
      <sheetId val="3"/>
      <sheetId val="4"/>
    </sheetIdMap>
  </header>
  <header guid="{729FC7E6-6F3C-4460-A7DA-CCEB1066E45B}" dateTime="2020-03-30T16:32:50" maxSheetId="5" userName="Carlos Henrique" r:id="rId190" minRId="3897">
    <sheetIdMap count="4">
      <sheetId val="2"/>
      <sheetId val="1"/>
      <sheetId val="3"/>
      <sheetId val="4"/>
    </sheetIdMap>
  </header>
  <header guid="{6FD4D4EB-5E4E-4EF7-8FCC-3D92D2275940}" dateTime="2020-03-30T16:45:07" maxSheetId="5" userName="Carlos Henrique" r:id="rId191" minRId="3898">
    <sheetIdMap count="4">
      <sheetId val="2"/>
      <sheetId val="1"/>
      <sheetId val="3"/>
      <sheetId val="4"/>
    </sheetIdMap>
  </header>
  <header guid="{38996E09-1718-4737-AEEC-20ACE850B35B}" dateTime="2020-03-30T17:05:16" maxSheetId="5" userName="Carlos Henrique" r:id="rId192" minRId="3899" maxRId="3901">
    <sheetIdMap count="4">
      <sheetId val="2"/>
      <sheetId val="1"/>
      <sheetId val="3"/>
      <sheetId val="4"/>
    </sheetIdMap>
  </header>
  <header guid="{D9322E02-4A41-494F-AD09-BD0FC3DE588D}" dateTime="2020-03-30T19:12:02" maxSheetId="5" userName="Carlos Henrique" r:id="rId193" minRId="3902">
    <sheetIdMap count="4">
      <sheetId val="2"/>
      <sheetId val="1"/>
      <sheetId val="3"/>
      <sheetId val="4"/>
    </sheetIdMap>
  </header>
  <header guid="{300DC987-54F6-4129-BD3C-5F8047D3D180}" dateTime="2020-03-30T19:10:45" maxSheetId="5" userName="Fabienia Paula" r:id="rId194" minRId="3903" maxRId="3907">
    <sheetIdMap count="4">
      <sheetId val="2"/>
      <sheetId val="1"/>
      <sheetId val="3"/>
      <sheetId val="4"/>
    </sheetIdMap>
  </header>
  <header guid="{A5619415-4CE2-474A-98CA-32274CD30395}" dateTime="2020-03-31T07:59:27" maxSheetId="5" userName="Fabienia Paula" r:id="rId195" minRId="3908" maxRId="3909">
    <sheetIdMap count="4">
      <sheetId val="2"/>
      <sheetId val="1"/>
      <sheetId val="3"/>
      <sheetId val="4"/>
    </sheetIdMap>
  </header>
  <header guid="{8D8A34AD-1EF4-40F3-9D18-96C3D2C4BDC9}" dateTime="2020-03-31T07:59:55" maxSheetId="5" userName="Fabienia Paula" r:id="rId196" minRId="3913" maxRId="3915">
    <sheetIdMap count="4">
      <sheetId val="2"/>
      <sheetId val="1"/>
      <sheetId val="3"/>
      <sheetId val="4"/>
    </sheetIdMap>
  </header>
  <header guid="{880947B1-A001-41C3-A6E8-A08A8BB0B057}" dateTime="2020-03-31T08:19:25" maxSheetId="5" userName="Thaiany Antunes" r:id="rId197" minRId="3916" maxRId="3998">
    <sheetIdMap count="4">
      <sheetId val="2"/>
      <sheetId val="1"/>
      <sheetId val="3"/>
      <sheetId val="4"/>
    </sheetIdMap>
  </header>
  <header guid="{FBDC0231-5511-4075-9DD2-7C28180627E0}" dateTime="2020-03-31T08:30:27" maxSheetId="5" userName="Thaiany Antunes" r:id="rId198" minRId="4002" maxRId="4013">
    <sheetIdMap count="4">
      <sheetId val="2"/>
      <sheetId val="1"/>
      <sheetId val="3"/>
      <sheetId val="4"/>
    </sheetIdMap>
  </header>
  <header guid="{11ADBD39-68D0-429B-9371-CAF1637986FF}" dateTime="2020-03-31T08:35:18" maxSheetId="5" userName="Thaiany Antunes" r:id="rId199">
    <sheetIdMap count="4">
      <sheetId val="2"/>
      <sheetId val="1"/>
      <sheetId val="3"/>
      <sheetId val="4"/>
    </sheetIdMap>
  </header>
  <header guid="{6B71CF8E-07C8-41B6-AA1F-1B25FC70ED0B}" dateTime="2020-03-31T08:38:42" maxSheetId="5" userName="Iaskara Paulino" r:id="rId200" minRId="4020" maxRId="4025">
    <sheetIdMap count="4">
      <sheetId val="2"/>
      <sheetId val="1"/>
      <sheetId val="3"/>
      <sheetId val="4"/>
    </sheetIdMap>
  </header>
  <header guid="{EBA6170A-B5FF-4017-B523-B4601D4AC3E1}" dateTime="2020-03-31T08:42:33" maxSheetId="5" userName="Marcela Mendes" r:id="rId201" minRId="4029" maxRId="4030">
    <sheetIdMap count="4">
      <sheetId val="2"/>
      <sheetId val="1"/>
      <sheetId val="3"/>
      <sheetId val="4"/>
    </sheetIdMap>
  </header>
  <header guid="{965C38C0-F788-4681-929A-43711B34267F}" dateTime="2020-03-31T08:42:43" maxSheetId="5" userName="Marcela Mendes" r:id="rId202" minRId="4031">
    <sheetIdMap count="4">
      <sheetId val="2"/>
      <sheetId val="1"/>
      <sheetId val="3"/>
      <sheetId val="4"/>
    </sheetIdMap>
  </header>
  <header guid="{EC12E1E8-FE20-4A02-8E58-CADAC5FC9004}" dateTime="2020-03-31T08:44:22" maxSheetId="5" userName="Carlos Henrique" r:id="rId203" minRId="4032">
    <sheetIdMap count="4">
      <sheetId val="2"/>
      <sheetId val="1"/>
      <sheetId val="3"/>
      <sheetId val="4"/>
    </sheetIdMap>
  </header>
  <header guid="{AC98B71E-DA2D-4CEB-B5A8-05C0F2E5B7F9}" dateTime="2020-03-31T08:56:09" maxSheetId="5" userName="Carlos Henrique" r:id="rId204" minRId="4036">
    <sheetIdMap count="4">
      <sheetId val="2"/>
      <sheetId val="1"/>
      <sheetId val="3"/>
      <sheetId val="4"/>
    </sheetIdMap>
  </header>
  <header guid="{1C9E405E-D2C6-4AD0-BFA8-6D67E64C4DF0}" dateTime="2020-03-31T09:02:53" maxSheetId="5" userName="Thaiany Antunes" r:id="rId205" minRId="4040">
    <sheetIdMap count="4">
      <sheetId val="2"/>
      <sheetId val="1"/>
      <sheetId val="3"/>
      <sheetId val="4"/>
    </sheetIdMap>
  </header>
  <header guid="{54D517F5-40B0-4683-BDAC-0636D0C9F80D}" dateTime="2020-03-31T09:04:13" maxSheetId="5" userName="Marcela Mendes" r:id="rId206" minRId="4041" maxRId="4045">
    <sheetIdMap count="4">
      <sheetId val="2"/>
      <sheetId val="1"/>
      <sheetId val="3"/>
      <sheetId val="4"/>
    </sheetIdMap>
  </header>
  <header guid="{FE68AD36-B0C4-4D1B-8852-99BD1082AA28}" dateTime="2020-03-31T09:29:36" maxSheetId="5" userName="Carlos Henrique" r:id="rId207" minRId="4049" maxRId="4054">
    <sheetIdMap count="4">
      <sheetId val="2"/>
      <sheetId val="1"/>
      <sheetId val="3"/>
      <sheetId val="4"/>
    </sheetIdMap>
  </header>
  <header guid="{DC066226-3B60-4D5C-B9D2-10D87DD64298}" dateTime="2020-03-31T09:30:08" maxSheetId="5" userName="Carlos Henrique" r:id="rId208" minRId="4055" maxRId="4056">
    <sheetIdMap count="4">
      <sheetId val="2"/>
      <sheetId val="1"/>
      <sheetId val="3"/>
      <sheetId val="4"/>
    </sheetIdMap>
  </header>
  <header guid="{CE11EDE5-3488-4AF4-AFA2-0DC5F456B14F}" dateTime="2020-03-31T09:31:09" maxSheetId="5" userName="Carlos Henrique" r:id="rId209" minRId="4057" maxRId="4059">
    <sheetIdMap count="4">
      <sheetId val="2"/>
      <sheetId val="1"/>
      <sheetId val="3"/>
      <sheetId val="4"/>
    </sheetIdMap>
  </header>
  <header guid="{48F7E2B9-DBC3-4EBD-A777-D3E218682889}" dateTime="2020-03-31T09:34:08" maxSheetId="5" userName="Carlos Henrique" r:id="rId210" minRId="4060" maxRId="4063">
    <sheetIdMap count="4">
      <sheetId val="2"/>
      <sheetId val="1"/>
      <sheetId val="3"/>
      <sheetId val="4"/>
    </sheetIdMap>
  </header>
  <header guid="{E63DB21E-C31C-43A7-993A-4E35CF5C934D}" dateTime="2020-03-31T09:34:19" maxSheetId="5" userName="Carlos Henrique" r:id="rId211" minRId="4064">
    <sheetIdMap count="4">
      <sheetId val="2"/>
      <sheetId val="1"/>
      <sheetId val="3"/>
      <sheetId val="4"/>
    </sheetIdMap>
  </header>
  <header guid="{EAF6E117-0FC7-4A17-A589-B4AE72979625}" dateTime="2020-03-31T09:34:50" maxSheetId="5" userName="Carlos Henrique" r:id="rId212" minRId="4065" maxRId="4066">
    <sheetIdMap count="4">
      <sheetId val="2"/>
      <sheetId val="1"/>
      <sheetId val="3"/>
      <sheetId val="4"/>
    </sheetIdMap>
  </header>
  <header guid="{09BAAF0B-271B-4B67-B693-46395222BC92}" dateTime="2020-03-31T09:36:42" maxSheetId="5" userName="Carlos Henrique" r:id="rId213" minRId="4067" maxRId="4070">
    <sheetIdMap count="4">
      <sheetId val="2"/>
      <sheetId val="1"/>
      <sheetId val="3"/>
      <sheetId val="4"/>
    </sheetIdMap>
  </header>
  <header guid="{538934D3-BDB7-45FE-8B36-0BB2DFD09A47}" dateTime="2020-03-31T09:38:48" maxSheetId="5" userName="Carlos Henrique" r:id="rId214" minRId="4071" maxRId="4075">
    <sheetIdMap count="4">
      <sheetId val="2"/>
      <sheetId val="1"/>
      <sheetId val="3"/>
      <sheetId val="4"/>
    </sheetIdMap>
  </header>
  <header guid="{0FB619FE-D14D-484F-86A2-4C6C02C015CD}" dateTime="2020-03-31T09:39:09" maxSheetId="5" userName="Carlos Henrique" r:id="rId215" minRId="4076">
    <sheetIdMap count="4">
      <sheetId val="2"/>
      <sheetId val="1"/>
      <sheetId val="3"/>
      <sheetId val="4"/>
    </sheetIdMap>
  </header>
  <header guid="{F7981E09-BDD2-4808-A98B-BF2E65412E30}" dateTime="2020-03-31T09:40:13" maxSheetId="5" userName="Carlos Henrique" r:id="rId216" minRId="4077" maxRId="4078">
    <sheetIdMap count="4">
      <sheetId val="2"/>
      <sheetId val="1"/>
      <sheetId val="3"/>
      <sheetId val="4"/>
    </sheetIdMap>
  </header>
  <header guid="{830CA180-A734-4C63-84B5-60FF289F607B}" dateTime="2020-03-31T09:40:40" maxSheetId="5" userName="Carlos Henrique" r:id="rId217" minRId="4079" maxRId="4080">
    <sheetIdMap count="4">
      <sheetId val="2"/>
      <sheetId val="1"/>
      <sheetId val="3"/>
      <sheetId val="4"/>
    </sheetIdMap>
  </header>
  <header guid="{8A8E2CF4-43CB-4C07-B120-882482CDDD21}" dateTime="2020-03-31T09:47:55" maxSheetId="5" userName="Carlos Henrique" r:id="rId218" minRId="4081" maxRId="4082">
    <sheetIdMap count="4">
      <sheetId val="2"/>
      <sheetId val="1"/>
      <sheetId val="3"/>
      <sheetId val="4"/>
    </sheetIdMap>
  </header>
  <header guid="{C203C154-6AD1-496B-9A22-3A537DAD79A3}" dateTime="2020-03-31T09:48:17" maxSheetId="5" userName="Carlos Henrique" r:id="rId219" minRId="4083" maxRId="4084">
    <sheetIdMap count="4">
      <sheetId val="2"/>
      <sheetId val="1"/>
      <sheetId val="3"/>
      <sheetId val="4"/>
    </sheetIdMap>
  </header>
  <header guid="{FE79EB3E-671C-4496-8F09-B99BEF0DA8A3}" dateTime="2020-03-31T09:49:18" maxSheetId="5" userName="Carlos Henrique" r:id="rId220" minRId="4085" maxRId="4086">
    <sheetIdMap count="4">
      <sheetId val="2"/>
      <sheetId val="1"/>
      <sheetId val="3"/>
      <sheetId val="4"/>
    </sheetIdMap>
  </header>
  <header guid="{C9521DAE-926A-4CB8-B58A-19845F6975AB}" dateTime="2020-03-31T09:51:30" maxSheetId="5" userName="Carlos Henrique" r:id="rId221" minRId="4087" maxRId="4089">
    <sheetIdMap count="4">
      <sheetId val="2"/>
      <sheetId val="1"/>
      <sheetId val="3"/>
      <sheetId val="4"/>
    </sheetIdMap>
  </header>
  <header guid="{40EBD1B2-9577-4CE7-9CD8-B0AD2FE4D974}" dateTime="2020-03-31T11:00:07" maxSheetId="6" userName="Carlos Henrique" r:id="rId222" minRId="4090" maxRId="4094">
    <sheetIdMap count="5">
      <sheetId val="2"/>
      <sheetId val="1"/>
      <sheetId val="5"/>
      <sheetId val="3"/>
      <sheetId val="4"/>
    </sheetIdMap>
  </header>
  <header guid="{D87504D3-3F01-4A84-BA92-3CA59574DE14}" dateTime="2020-03-31T11:15:25" maxSheetId="6" userName="Carlos Henrique" r:id="rId223" minRId="4097">
    <sheetIdMap count="5">
      <sheetId val="2"/>
      <sheetId val="1"/>
      <sheetId val="5"/>
      <sheetId val="3"/>
      <sheetId val="4"/>
    </sheetIdMap>
  </header>
  <header guid="{5CC21521-4B53-4693-89E1-D029F4AB9309}" dateTime="2020-03-31T14:54:44" maxSheetId="6" userName="Iaskara Paulino" r:id="rId224" minRId="4098">
    <sheetIdMap count="5">
      <sheetId val="2"/>
      <sheetId val="1"/>
      <sheetId val="5"/>
      <sheetId val="3"/>
      <sheetId val="4"/>
    </sheetIdMap>
  </header>
  <header guid="{FD3F5A38-E010-4084-889D-FD7E8DF125FB}" dateTime="2020-03-31T15:50:01" maxSheetId="6" userName="Fabienia Paula" r:id="rId225" minRId="4102">
    <sheetIdMap count="5">
      <sheetId val="2"/>
      <sheetId val="1"/>
      <sheetId val="5"/>
      <sheetId val="3"/>
      <sheetId val="4"/>
    </sheetIdMap>
  </header>
  <header guid="{C7A9E4EB-F496-4922-9E49-2C0EDB45FF74}" dateTime="2020-03-31T18:11:19" maxSheetId="6" userName="Carlos Henrique" r:id="rId226" minRId="4103">
    <sheetIdMap count="5">
      <sheetId val="2"/>
      <sheetId val="1"/>
      <sheetId val="5"/>
      <sheetId val="3"/>
      <sheetId val="4"/>
    </sheetIdMap>
  </header>
  <header guid="{5C7FCD6E-7098-4B03-8747-918E9D5CD79D}" dateTime="2020-03-31T18:14:08" maxSheetId="6" userName="Carlos Henrique" r:id="rId227" minRId="4104">
    <sheetIdMap count="5">
      <sheetId val="2"/>
      <sheetId val="1"/>
      <sheetId val="5"/>
      <sheetId val="3"/>
      <sheetId val="4"/>
    </sheetIdMap>
  </header>
  <header guid="{C1019927-908A-4E89-BDAA-A16CC16FF8AA}" dateTime="2020-03-31T18:15:17" maxSheetId="6" userName="Carlos Henrique" r:id="rId228" minRId="4105">
    <sheetIdMap count="5">
      <sheetId val="2"/>
      <sheetId val="1"/>
      <sheetId val="5"/>
      <sheetId val="3"/>
      <sheetId val="4"/>
    </sheetIdMap>
  </header>
  <header guid="{BB27FDE0-9B49-47FD-AD1D-A5B964B3E2D5}" dateTime="2020-03-31T18:19:16" maxSheetId="6" userName="Carlos Henrique" r:id="rId229" minRId="4106">
    <sheetIdMap count="5">
      <sheetId val="2"/>
      <sheetId val="1"/>
      <sheetId val="5"/>
      <sheetId val="3"/>
      <sheetId val="4"/>
    </sheetIdMap>
  </header>
  <header guid="{BE0BC861-C50A-4202-B5F0-C1EA6A30424D}" dateTime="2020-03-31T18:19:46" maxSheetId="6" userName="Carlos Henrique" r:id="rId230" minRId="4107">
    <sheetIdMap count="5">
      <sheetId val="2"/>
      <sheetId val="1"/>
      <sheetId val="5"/>
      <sheetId val="3"/>
      <sheetId val="4"/>
    </sheetIdMap>
  </header>
  <header guid="{438B7B72-B521-41D2-90F4-45B7C8CF70AF}" dateTime="2020-03-31T18:20:14" maxSheetId="6" userName="Carlos Henrique" r:id="rId231" minRId="4108">
    <sheetIdMap count="5">
      <sheetId val="2"/>
      <sheetId val="1"/>
      <sheetId val="5"/>
      <sheetId val="3"/>
      <sheetId val="4"/>
    </sheetIdMap>
  </header>
  <header guid="{538F7A24-D4E9-4132-81F4-A7F304A76570}" dateTime="2020-03-31T18:44:08" maxSheetId="6" userName="Marcela Mendes" r:id="rId232" minRId="4109" maxRId="4110">
    <sheetIdMap count="5">
      <sheetId val="2"/>
      <sheetId val="1"/>
      <sheetId val="5"/>
      <sheetId val="3"/>
      <sheetId val="4"/>
    </sheetIdMap>
  </header>
  <header guid="{319FEC8F-A966-490E-8D71-5A7B8F4AD978}" dateTime="2020-03-31T18:52:31" maxSheetId="6" userName="Thaiany Antunes" r:id="rId233" minRId="4111">
    <sheetIdMap count="5">
      <sheetId val="2"/>
      <sheetId val="1"/>
      <sheetId val="5"/>
      <sheetId val="3"/>
      <sheetId val="4"/>
    </sheetIdMap>
  </header>
  <header guid="{5FBA1ADE-9CE1-43AA-AFAC-4E97B25C9E37}" dateTime="2020-03-31T18:53:14" maxSheetId="6" userName="Carlos Henrique" r:id="rId234">
    <sheetIdMap count="5">
      <sheetId val="2"/>
      <sheetId val="1"/>
      <sheetId val="5"/>
      <sheetId val="3"/>
      <sheetId val="4"/>
    </sheetIdMap>
  </header>
  <header guid="{1F4787A2-DB98-4160-878C-2FFBC6E21AAC}" dateTime="2020-04-01T09:13:49" maxSheetId="6" userName="Thaiany Antunes" r:id="rId235" minRId="4114">
    <sheetIdMap count="5">
      <sheetId val="2"/>
      <sheetId val="1"/>
      <sheetId val="5"/>
      <sheetId val="3"/>
      <sheetId val="4"/>
    </sheetIdMap>
  </header>
  <header guid="{0AE83695-EF13-444D-AF05-429B958853CA}" dateTime="2020-04-01T09:24:27" maxSheetId="6" userName="Thaiany Antunes" r:id="rId236" minRId="4115">
    <sheetIdMap count="5">
      <sheetId val="2"/>
      <sheetId val="1"/>
      <sheetId val="5"/>
      <sheetId val="3"/>
      <sheetId val="4"/>
    </sheetIdMap>
  </header>
  <header guid="{B4B3F805-E06D-42FB-973D-2EA776291FB9}" dateTime="2020-04-01T10:42:19" maxSheetId="6" userName="Thaiany Antunes" r:id="rId237" minRId="4116">
    <sheetIdMap count="5">
      <sheetId val="2"/>
      <sheetId val="1"/>
      <sheetId val="5"/>
      <sheetId val="3"/>
      <sheetId val="4"/>
    </sheetIdMap>
  </header>
  <header guid="{29D4C77F-DA75-4AF1-A3F6-7C3BBAAEE6CB}" dateTime="2020-04-01T11:43:17" maxSheetId="6" userName="Fabienia Paula" r:id="rId238" minRId="4117">
    <sheetIdMap count="5">
      <sheetId val="2"/>
      <sheetId val="1"/>
      <sheetId val="5"/>
      <sheetId val="3"/>
      <sheetId val="4"/>
    </sheetIdMap>
  </header>
  <header guid="{9AA0C8D4-5A0A-4CFE-BA47-E572B0ABD06F}" dateTime="2020-04-01T12:00:23" maxSheetId="6" userName="Thaiany Antunes" r:id="rId239" minRId="4118">
    <sheetIdMap count="5">
      <sheetId val="2"/>
      <sheetId val="1"/>
      <sheetId val="5"/>
      <sheetId val="3"/>
      <sheetId val="4"/>
    </sheetIdMap>
  </header>
  <header guid="{DC81C231-E92C-4B6C-806C-46459C2F0041}" dateTime="2020-04-01T12:03:42" maxSheetId="6" userName="Marcela Mendes" r:id="rId240" minRId="4119" maxRId="4123">
    <sheetIdMap count="5">
      <sheetId val="2"/>
      <sheetId val="1"/>
      <sheetId val="5"/>
      <sheetId val="3"/>
      <sheetId val="4"/>
    </sheetIdMap>
  </header>
  <header guid="{1B7005AE-4161-46DF-8B7D-C5530F018310}" dateTime="2020-04-01T12:04:35" maxSheetId="6" userName="Marcela Mendes" r:id="rId241" minRId="4124" maxRId="4133">
    <sheetIdMap count="5">
      <sheetId val="2"/>
      <sheetId val="1"/>
      <sheetId val="5"/>
      <sheetId val="3"/>
      <sheetId val="4"/>
    </sheetIdMap>
  </header>
  <header guid="{AD96159D-AD2A-4CAB-BEDA-EB58D6349060}" dateTime="2020-04-01T12:17:59" maxSheetId="6" userName="Marcela Mendes" r:id="rId242" minRId="4134" maxRId="4139">
    <sheetIdMap count="5">
      <sheetId val="2"/>
      <sheetId val="1"/>
      <sheetId val="5"/>
      <sheetId val="3"/>
      <sheetId val="4"/>
    </sheetIdMap>
  </header>
  <header guid="{9DF1F4B8-7EA9-4A6F-B719-4BB29F40D2A2}" dateTime="2020-04-01T13:45:29" maxSheetId="6" userName="Carlos Henrique" r:id="rId243" minRId="4143" maxRId="4144">
    <sheetIdMap count="5">
      <sheetId val="2"/>
      <sheetId val="1"/>
      <sheetId val="5"/>
      <sheetId val="3"/>
      <sheetId val="4"/>
    </sheetIdMap>
  </header>
  <header guid="{7F3A33F8-7485-48A8-961D-4033629A45DC}" dateTime="2020-04-01T14:00:33" maxSheetId="6" userName="Thaiany Antunes" r:id="rId244" minRId="4145">
    <sheetIdMap count="5">
      <sheetId val="2"/>
      <sheetId val="1"/>
      <sheetId val="5"/>
      <sheetId val="3"/>
      <sheetId val="4"/>
    </sheetIdMap>
  </header>
  <header guid="{0F438540-8D10-49E1-8F2B-44422B90AD5A}" dateTime="2020-04-01T14:20:29" maxSheetId="6" userName="Thaiany Antunes" r:id="rId245" minRId="4146">
    <sheetIdMap count="5">
      <sheetId val="2"/>
      <sheetId val="1"/>
      <sheetId val="5"/>
      <sheetId val="3"/>
      <sheetId val="4"/>
    </sheetIdMap>
  </header>
  <header guid="{C3E3D580-EDB3-4D3C-8491-1FB951F8E9E5}" dateTime="2020-04-01T14:34:06" maxSheetId="6" userName="Thaiany Antunes" r:id="rId246" minRId="4147">
    <sheetIdMap count="5">
      <sheetId val="2"/>
      <sheetId val="1"/>
      <sheetId val="5"/>
      <sheetId val="3"/>
      <sheetId val="4"/>
    </sheetIdMap>
  </header>
  <header guid="{E7568C7C-3282-4764-8CD3-1B8DB24DAC52}" dateTime="2020-04-01T14:59:44" maxSheetId="6" userName="Carlos Henrique" r:id="rId247" minRId="4148">
    <sheetIdMap count="5">
      <sheetId val="2"/>
      <sheetId val="1"/>
      <sheetId val="5"/>
      <sheetId val="3"/>
      <sheetId val="4"/>
    </sheetIdMap>
  </header>
  <header guid="{C914954C-00FD-437F-8C4E-5C3F00484A85}" dateTime="2020-04-01T15:06:30" maxSheetId="6" userName="Thaiany Antunes" r:id="rId248" minRId="4149">
    <sheetIdMap count="5">
      <sheetId val="2"/>
      <sheetId val="1"/>
      <sheetId val="5"/>
      <sheetId val="3"/>
      <sheetId val="4"/>
    </sheetIdMap>
  </header>
  <header guid="{D8F5D3D7-7386-4010-86EE-B3C63909069A}" dateTime="2020-04-01T15:09:12" maxSheetId="6" userName="Marcela Mendes" r:id="rId249">
    <sheetIdMap count="5">
      <sheetId val="2"/>
      <sheetId val="1"/>
      <sheetId val="5"/>
      <sheetId val="3"/>
      <sheetId val="4"/>
    </sheetIdMap>
  </header>
  <header guid="{0AD52798-195D-42C6-8DAD-1DF6ACFB5D2B}" dateTime="2020-04-01T15:09:51" maxSheetId="6" userName="Thaiany Antunes" r:id="rId250" minRId="4150">
    <sheetIdMap count="5">
      <sheetId val="2"/>
      <sheetId val="1"/>
      <sheetId val="5"/>
      <sheetId val="3"/>
      <sheetId val="4"/>
    </sheetIdMap>
  </header>
  <header guid="{273FE56A-9D62-4629-B440-AAC0EB79B2EA}" dateTime="2020-04-01T15:47:37" maxSheetId="6" userName="Carlos Henrique" r:id="rId251" minRId="4151">
    <sheetIdMap count="5">
      <sheetId val="2"/>
      <sheetId val="1"/>
      <sheetId val="5"/>
      <sheetId val="3"/>
      <sheetId val="4"/>
    </sheetIdMap>
  </header>
  <header guid="{625EA322-95CE-483F-8A94-D71594DD55F8}" dateTime="2020-04-01T17:14:24" maxSheetId="6" userName="Natalia Gerheim" r:id="rId252">
    <sheetIdMap count="5">
      <sheetId val="2"/>
      <sheetId val="1"/>
      <sheetId val="5"/>
      <sheetId val="3"/>
      <sheetId val="4"/>
    </sheetIdMap>
  </header>
  <header guid="{F83436CE-60E5-4748-8BE0-1D47E739728B}" dateTime="2020-04-01T17:40:57" maxSheetId="6" userName="Carlos Henrique" r:id="rId253" minRId="4156" maxRId="4157">
    <sheetIdMap count="5">
      <sheetId val="2"/>
      <sheetId val="1"/>
      <sheetId val="5"/>
      <sheetId val="3"/>
      <sheetId val="4"/>
    </sheetIdMap>
  </header>
  <header guid="{436E77A7-A4AF-4FF5-A497-E5C099D5A18A}" dateTime="2020-04-01T18:41:05" maxSheetId="6" userName="Marcela Mendes" r:id="rId254">
    <sheetIdMap count="5">
      <sheetId val="2"/>
      <sheetId val="1"/>
      <sheetId val="5"/>
      <sheetId val="3"/>
      <sheetId val="4"/>
    </sheetIdMap>
  </header>
  <header guid="{28BF7CFA-672A-4BAB-9F0F-9F865ECB119E}" dateTime="2020-04-02T11:26:57" maxSheetId="6" userName="Thaiany Antunes" r:id="rId255" minRId="4158">
    <sheetIdMap count="5">
      <sheetId val="2"/>
      <sheetId val="1"/>
      <sheetId val="5"/>
      <sheetId val="3"/>
      <sheetId val="4"/>
    </sheetIdMap>
  </header>
  <header guid="{82DA5420-E3B0-47C5-B0E7-BCC7CCD713C2}" dateTime="2020-04-02T14:13:28" maxSheetId="6" userName="Fabienia Paula" r:id="rId256" minRId="4162">
    <sheetIdMap count="5">
      <sheetId val="2"/>
      <sheetId val="1"/>
      <sheetId val="5"/>
      <sheetId val="3"/>
      <sheetId val="4"/>
    </sheetIdMap>
  </header>
  <header guid="{0B0624A8-0838-486F-A71F-DDBD04635871}" dateTime="2020-04-02T14:17:56" maxSheetId="6" userName="Carlos Henrique" r:id="rId257" minRId="4163" maxRId="4164">
    <sheetIdMap count="5">
      <sheetId val="2"/>
      <sheetId val="1"/>
      <sheetId val="5"/>
      <sheetId val="3"/>
      <sheetId val="4"/>
    </sheetIdMap>
  </header>
  <header guid="{6FAAA5D7-8857-48F6-913A-BC74BED7AC50}" dateTime="2020-04-02T15:38:39" maxSheetId="6" userName="Carlos Henrique" r:id="rId258" minRId="4167">
    <sheetIdMap count="5">
      <sheetId val="2"/>
      <sheetId val="1"/>
      <sheetId val="5"/>
      <sheetId val="3"/>
      <sheetId val="4"/>
    </sheetIdMap>
  </header>
  <header guid="{124A6C37-E546-4C54-896A-2E65654754CB}" dateTime="2020-04-02T16:18:47" maxSheetId="6" userName="Carlos Henrique" r:id="rId259" minRId="4168">
    <sheetIdMap count="5">
      <sheetId val="2"/>
      <sheetId val="1"/>
      <sheetId val="5"/>
      <sheetId val="3"/>
      <sheetId val="4"/>
    </sheetIdMap>
  </header>
  <header guid="{6A8C722A-5609-4985-B0C0-1C542B6158DE}" dateTime="2020-04-02T19:13:45" maxSheetId="6" userName="Marcela Mendes" r:id="rId260">
    <sheetIdMap count="5">
      <sheetId val="2"/>
      <sheetId val="1"/>
      <sheetId val="5"/>
      <sheetId val="3"/>
      <sheetId val="4"/>
    </sheetIdMap>
  </header>
  <header guid="{DEFB9690-3C1E-47F2-ADD9-2233900C1597}" dateTime="2020-04-03T08:15:56" maxSheetId="6" userName="Carlos Henrique" r:id="rId261" minRId="4172">
    <sheetIdMap count="5">
      <sheetId val="2"/>
      <sheetId val="1"/>
      <sheetId val="5"/>
      <sheetId val="3"/>
      <sheetId val="4"/>
    </sheetIdMap>
  </header>
  <header guid="{6C1A3E88-5D8C-443F-B5F2-D3186A694E44}" dateTime="2020-04-03T08:17:02" maxSheetId="6" userName="Carlos Henrique" r:id="rId262" minRId="4175">
    <sheetIdMap count="5">
      <sheetId val="2"/>
      <sheetId val="1"/>
      <sheetId val="5"/>
      <sheetId val="3"/>
      <sheetId val="4"/>
    </sheetIdMap>
  </header>
  <header guid="{D4ACDB16-68CE-41C8-AA4D-2E5D43441BCF}" dateTime="2020-04-03T11:32:58" maxSheetId="6" userName="Fabienia Paula" r:id="rId263" minRId="4176">
    <sheetIdMap count="5">
      <sheetId val="2"/>
      <sheetId val="1"/>
      <sheetId val="5"/>
      <sheetId val="3"/>
      <sheetId val="4"/>
    </sheetIdMap>
  </header>
  <header guid="{ED3C62EE-124A-40B6-9DE7-167E7939632C}" dateTime="2020-04-03T12:15:50" maxSheetId="6" userName="Fabienia Paula" r:id="rId264" minRId="4177">
    <sheetIdMap count="5">
      <sheetId val="2"/>
      <sheetId val="1"/>
      <sheetId val="5"/>
      <sheetId val="3"/>
      <sheetId val="4"/>
    </sheetIdMap>
  </header>
  <header guid="{39744B5F-67A6-4D5B-AB7C-933F833A9FA0}" dateTime="2020-04-03T14:16:22" maxSheetId="6" userName="Thaiany Antunes" r:id="rId265" minRId="4178">
    <sheetIdMap count="5">
      <sheetId val="2"/>
      <sheetId val="1"/>
      <sheetId val="5"/>
      <sheetId val="3"/>
      <sheetId val="4"/>
    </sheetIdMap>
  </header>
  <header guid="{2B6C0D30-9645-426A-BC63-8FB31F1EA508}" dateTime="2020-04-03T16:08:16" maxSheetId="6" userName="Thaiany Antunes" r:id="rId266" minRId="4179" maxRId="4180">
    <sheetIdMap count="5">
      <sheetId val="2"/>
      <sheetId val="1"/>
      <sheetId val="5"/>
      <sheetId val="3"/>
      <sheetId val="4"/>
    </sheetIdMap>
  </header>
  <header guid="{44A69347-9E9B-41E1-91C7-7481DF107F98}" dateTime="2020-04-06T09:04:39" maxSheetId="6" userName="Thaiany Antunes" r:id="rId267" minRId="4181">
    <sheetIdMap count="5">
      <sheetId val="2"/>
      <sheetId val="1"/>
      <sheetId val="5"/>
      <sheetId val="3"/>
      <sheetId val="4"/>
    </sheetIdMap>
  </header>
  <header guid="{E8837664-9250-44DC-9485-230352C1B4B3}" dateTime="2020-04-06T08:48:16" maxSheetId="6" userName="Iaskara Paulino" r:id="rId268" minRId="4185" maxRId="4189">
    <sheetIdMap count="5">
      <sheetId val="2"/>
      <sheetId val="1"/>
      <sheetId val="5"/>
      <sheetId val="3"/>
      <sheetId val="4"/>
    </sheetIdMap>
  </header>
  <header guid="{4C9B7DDC-04C4-428B-9657-6AF7FE3F0C77}" dateTime="2020-04-07T10:00:34" maxSheetId="6" userName="Fabienia Paula" r:id="rId269" minRId="4193">
    <sheetIdMap count="5">
      <sheetId val="2"/>
      <sheetId val="1"/>
      <sheetId val="5"/>
      <sheetId val="3"/>
      <sheetId val="4"/>
    </sheetIdMap>
  </header>
  <header guid="{0E93D3FE-C7F5-4A82-B19A-F92F9817F3FB}" dateTime="2020-04-07T14:01:45" maxSheetId="6" userName="Thaiany Antunes" r:id="rId270" minRId="4194">
    <sheetIdMap count="5">
      <sheetId val="2"/>
      <sheetId val="1"/>
      <sheetId val="5"/>
      <sheetId val="3"/>
      <sheetId val="4"/>
    </sheetIdMap>
  </header>
  <header guid="{A0DF848D-D214-4635-9F62-9719DE4AB5D3}" dateTime="2020-04-07T15:20:12" maxSheetId="6" userName="Iaskara Paulino" r:id="rId271">
    <sheetIdMap count="5">
      <sheetId val="2"/>
      <sheetId val="1"/>
      <sheetId val="5"/>
      <sheetId val="3"/>
      <sheetId val="4"/>
    </sheetIdMap>
  </header>
  <header guid="{F5179517-C4E9-4062-B642-8F468FF8A77A}" dateTime="2020-04-07T15:41:18" maxSheetId="6" userName="Carlos Henrique" r:id="rId272" minRId="4198">
    <sheetIdMap count="5">
      <sheetId val="2"/>
      <sheetId val="1"/>
      <sheetId val="5"/>
      <sheetId val="3"/>
      <sheetId val="4"/>
    </sheetIdMap>
  </header>
  <header guid="{EC61CFFA-7FA9-459E-9F92-145A143317F0}" dateTime="2020-04-07T18:01:11" maxSheetId="6" userName="Marcela Mendes" r:id="rId273" minRId="4199">
    <sheetIdMap count="5">
      <sheetId val="2"/>
      <sheetId val="1"/>
      <sheetId val="5"/>
      <sheetId val="3"/>
      <sheetId val="4"/>
    </sheetIdMap>
  </header>
  <header guid="{B5D56518-2375-49D1-B0A7-FD3705AE86BE}" dateTime="2020-04-08T09:42:55" maxSheetId="6" userName="Thaiany Antunes" r:id="rId274" minRId="4200" maxRId="4203">
    <sheetIdMap count="5">
      <sheetId val="2"/>
      <sheetId val="1"/>
      <sheetId val="5"/>
      <sheetId val="3"/>
      <sheetId val="4"/>
    </sheetIdMap>
  </header>
  <header guid="{CD6AD825-3126-49F2-BB06-E12F7B5E8BAE}" dateTime="2020-04-09T09:24:21" maxSheetId="6" userName="Thaiany Antunes" r:id="rId275" minRId="4204" maxRId="4205">
    <sheetIdMap count="5">
      <sheetId val="2"/>
      <sheetId val="1"/>
      <sheetId val="5"/>
      <sheetId val="3"/>
      <sheetId val="4"/>
    </sheetIdMap>
  </header>
  <header guid="{BBE9E46E-FCB8-47F5-86CA-0AB7C68E9FD6}" dateTime="2020-04-09T10:22:50" maxSheetId="6" userName="Thaiany Antunes" r:id="rId276" minRId="4209" maxRId="4215">
    <sheetIdMap count="5">
      <sheetId val="2"/>
      <sheetId val="1"/>
      <sheetId val="5"/>
      <sheetId val="3"/>
      <sheetId val="4"/>
    </sheetIdMap>
  </header>
  <header guid="{A71AA14D-7FA9-4A38-853C-97DC83C65001}" dateTime="2020-04-09T11:41:33" maxSheetId="6" userName="Thaiany Antunes" r:id="rId277" minRId="4216">
    <sheetIdMap count="5">
      <sheetId val="2"/>
      <sheetId val="1"/>
      <sheetId val="5"/>
      <sheetId val="3"/>
      <sheetId val="4"/>
    </sheetIdMap>
  </header>
  <header guid="{980A7968-F64E-45A8-880F-2BAB1606F5CC}" dateTime="2020-04-14T13:45:53" maxSheetId="6" userName="Carlos Henrique" r:id="rId278" minRId="4217">
    <sheetIdMap count="5">
      <sheetId val="2"/>
      <sheetId val="1"/>
      <sheetId val="5"/>
      <sheetId val="3"/>
      <sheetId val="4"/>
    </sheetIdMap>
  </header>
  <header guid="{6CC5507B-66C5-4196-8DDB-FCAC4CCD49CA}" dateTime="2020-04-14T15:48:17" maxSheetId="6" userName="Marcela Mendes" r:id="rId279">
    <sheetIdMap count="5">
      <sheetId val="2"/>
      <sheetId val="1"/>
      <sheetId val="5"/>
      <sheetId val="3"/>
      <sheetId val="4"/>
    </sheetIdMap>
  </header>
  <header guid="{BDF36EBE-3167-4705-82E4-1E1C75D54870}" dateTime="2020-04-14T15:55:54" maxSheetId="6" userName="Marcela Mendes" r:id="rId280" minRId="4221" maxRId="4222">
    <sheetIdMap count="5">
      <sheetId val="2"/>
      <sheetId val="1"/>
      <sheetId val="5"/>
      <sheetId val="3"/>
      <sheetId val="4"/>
    </sheetIdMap>
  </header>
  <header guid="{33C58343-B1B7-417E-9B33-7A307CAB7EE2}" dateTime="2020-04-14T16:03:45" maxSheetId="6" userName="Marcela Mendes" r:id="rId281">
    <sheetIdMap count="5">
      <sheetId val="2"/>
      <sheetId val="1"/>
      <sheetId val="5"/>
      <sheetId val="3"/>
      <sheetId val="4"/>
    </sheetIdMap>
  </header>
  <header guid="{6765ECD7-850E-4EE8-B3F2-69CFF1C043FD}" dateTime="2020-04-15T08:37:50" maxSheetId="6" userName="Thaiany Antunes" r:id="rId282" minRId="4223">
    <sheetIdMap count="5">
      <sheetId val="2"/>
      <sheetId val="1"/>
      <sheetId val="5"/>
      <sheetId val="3"/>
      <sheetId val="4"/>
    </sheetIdMap>
  </header>
  <header guid="{685A13B4-E70F-42EC-9C98-81D6BEA1B201}" dateTime="2020-04-15T08:38:06" maxSheetId="6" userName="Thaiany Antunes" r:id="rId283" minRId="4224">
    <sheetIdMap count="5">
      <sheetId val="2"/>
      <sheetId val="1"/>
      <sheetId val="5"/>
      <sheetId val="3"/>
      <sheetId val="4"/>
    </sheetIdMap>
  </header>
  <header guid="{154E2BD8-EF44-4BED-A4C2-355E8989A0F0}" dateTime="2020-04-15T15:57:27" maxSheetId="6" userName="Marcela Mendes" r:id="rId284">
    <sheetIdMap count="5">
      <sheetId val="2"/>
      <sheetId val="1"/>
      <sheetId val="5"/>
      <sheetId val="3"/>
      <sheetId val="4"/>
    </sheetIdMap>
  </header>
  <header guid="{9CA6F822-3E7F-42B3-9429-4BF5D5F9C085}" dateTime="2020-04-15T19:28:53" maxSheetId="6" userName="Thaiany Antunes" r:id="rId285" minRId="4228">
    <sheetIdMap count="5">
      <sheetId val="2"/>
      <sheetId val="1"/>
      <sheetId val="5"/>
      <sheetId val="3"/>
      <sheetId val="4"/>
    </sheetIdMap>
  </header>
  <header guid="{65CB90A9-1E8E-4BAA-A325-112BA656D17E}" dateTime="2020-04-16T16:58:57" maxSheetId="6" userName="Carlos Henrique" r:id="rId286" minRId="4229">
    <sheetIdMap count="5">
      <sheetId val="2"/>
      <sheetId val="1"/>
      <sheetId val="5"/>
      <sheetId val="3"/>
      <sheetId val="4"/>
    </sheetIdMap>
  </header>
  <header guid="{3262E620-3048-459A-8D89-AA8C2F0FB5B0}" dateTime="2020-04-16T17:10:37" maxSheetId="6" userName="Carlos Henrique" r:id="rId287" minRId="4230">
    <sheetIdMap count="5">
      <sheetId val="2"/>
      <sheetId val="1"/>
      <sheetId val="5"/>
      <sheetId val="3"/>
      <sheetId val="4"/>
    </sheetIdMap>
  </header>
  <header guid="{92BEB301-0C07-46EB-829A-F1C37E364931}" dateTime="2020-04-16T18:43:31" maxSheetId="6" userName="Marcela Mendes" r:id="rId288">
    <sheetIdMap count="5">
      <sheetId val="2"/>
      <sheetId val="1"/>
      <sheetId val="5"/>
      <sheetId val="3"/>
      <sheetId val="4"/>
    </sheetIdMap>
  </header>
  <header guid="{C0FDC6B8-46E9-45AA-951F-7469077FBF56}" dateTime="2020-04-17T18:37:45" maxSheetId="6" userName="Carlos Henrique" r:id="rId289" minRId="4234">
    <sheetIdMap count="5">
      <sheetId val="2"/>
      <sheetId val="1"/>
      <sheetId val="5"/>
      <sheetId val="3"/>
      <sheetId val="4"/>
    </sheetIdMap>
  </header>
  <header guid="{D169E427-8032-4AAE-9B3F-83595275280F}" dateTime="2020-04-20T08:54:52" maxSheetId="6" userName="Thaiany Antunes" r:id="rId290" minRId="4235">
    <sheetIdMap count="5">
      <sheetId val="2"/>
      <sheetId val="1"/>
      <sheetId val="5"/>
      <sheetId val="3"/>
      <sheetId val="4"/>
    </sheetIdMap>
  </header>
  <header guid="{F90194F0-7796-4D25-9F60-23382AACA22E}" dateTime="2020-04-20T09:00:00" maxSheetId="6" userName="Thaiany Antunes" r:id="rId291" minRId="4236">
    <sheetIdMap count="5">
      <sheetId val="2"/>
      <sheetId val="1"/>
      <sheetId val="5"/>
      <sheetId val="3"/>
      <sheetId val="4"/>
    </sheetIdMap>
  </header>
  <header guid="{F5E82B2C-4E79-49B1-963B-425D77E9F46F}" dateTime="2020-04-20T09:10:13" maxSheetId="6" userName="Carlos Henrique" r:id="rId292">
    <sheetIdMap count="5">
      <sheetId val="2"/>
      <sheetId val="1"/>
      <sheetId val="5"/>
      <sheetId val="3"/>
      <sheetId val="4"/>
    </sheetIdMap>
  </header>
  <header guid="{4C1E729C-9DB4-40DD-AFD4-2423893F6A6E}" dateTime="2020-04-22T08:38:20" maxSheetId="6" userName="Marcela Mendes" r:id="rId293" minRId="4239" maxRId="4244">
    <sheetIdMap count="5">
      <sheetId val="2"/>
      <sheetId val="1"/>
      <sheetId val="5"/>
      <sheetId val="3"/>
      <sheetId val="4"/>
    </sheetIdMap>
  </header>
  <header guid="{2EFAA8F3-B35A-4BDF-9512-306747FE9084}" dateTime="2020-04-22T08:48:55" maxSheetId="6" userName="Marcela Mendes" r:id="rId294" minRId="4248" maxRId="4253">
    <sheetIdMap count="5">
      <sheetId val="2"/>
      <sheetId val="1"/>
      <sheetId val="5"/>
      <sheetId val="3"/>
      <sheetId val="4"/>
    </sheetIdMap>
  </header>
  <header guid="{11874A65-DBF0-417F-A7DE-4F17AB44EC95}" dateTime="2020-04-22T09:04:47" maxSheetId="6" userName="Marcela Mendes" r:id="rId295" minRId="4254" maxRId="4257">
    <sheetIdMap count="5">
      <sheetId val="2"/>
      <sheetId val="1"/>
      <sheetId val="5"/>
      <sheetId val="3"/>
      <sheetId val="4"/>
    </sheetIdMap>
  </header>
  <header guid="{C458A283-E16A-48B6-A878-67A307875FDF}" dateTime="2020-04-22T09:05:14" maxSheetId="6" userName="Marcela Mendes" r:id="rId296" minRId="4258">
    <sheetIdMap count="5">
      <sheetId val="2"/>
      <sheetId val="1"/>
      <sheetId val="5"/>
      <sheetId val="3"/>
      <sheetId val="4"/>
    </sheetIdMap>
  </header>
  <header guid="{1ECC2451-0499-4F13-8464-A4667666616B}" dateTime="2020-04-22T11:01:16" maxSheetId="6" userName="Thaiany Antunes" r:id="rId297" minRId="4259" maxRId="4286">
    <sheetIdMap count="5">
      <sheetId val="2"/>
      <sheetId val="1"/>
      <sheetId val="5"/>
      <sheetId val="3"/>
      <sheetId val="4"/>
    </sheetIdMap>
  </header>
  <header guid="{0F25176D-C1B6-4B8D-A0E1-A692981622ED}" dateTime="2020-04-22T11:02:24" maxSheetId="6" userName="Thaiany Antunes" r:id="rId298" minRId="4290">
    <sheetIdMap count="5">
      <sheetId val="2"/>
      <sheetId val="1"/>
      <sheetId val="5"/>
      <sheetId val="3"/>
      <sheetId val="4"/>
    </sheetIdMap>
  </header>
  <header guid="{C5BDC3B8-C25C-4AE1-8868-60FA92C89BCB}" dateTime="2020-04-22T11:02:37" maxSheetId="6" userName="Thaiany Antunes" r:id="rId299">
    <sheetIdMap count="5">
      <sheetId val="2"/>
      <sheetId val="1"/>
      <sheetId val="5"/>
      <sheetId val="3"/>
      <sheetId val="4"/>
    </sheetIdMap>
  </header>
  <header guid="{9262F0A2-8F38-4CFC-BC22-3FE83F658F4D}" dateTime="2020-04-22T11:18:17" maxSheetId="6" userName="Thaiany Antunes" r:id="rId300" minRId="4294">
    <sheetIdMap count="5">
      <sheetId val="2"/>
      <sheetId val="1"/>
      <sheetId val="5"/>
      <sheetId val="3"/>
      <sheetId val="4"/>
    </sheetIdMap>
  </header>
  <header guid="{AE542A3C-ED09-4CA4-BEAB-A4785F273D1A}" dateTime="2020-04-22T11:19:39" maxSheetId="6" userName="Thaiany Antunes" r:id="rId301" minRId="4295" maxRId="4299">
    <sheetIdMap count="5">
      <sheetId val="2"/>
      <sheetId val="1"/>
      <sheetId val="5"/>
      <sheetId val="3"/>
      <sheetId val="4"/>
    </sheetIdMap>
  </header>
  <header guid="{3997F7B1-3949-4F80-A0E8-2E8E378CE257}" dateTime="2020-04-22T14:29:29" maxSheetId="6" userName="Thaiany Antunes" r:id="rId302" minRId="4300">
    <sheetIdMap count="5">
      <sheetId val="2"/>
      <sheetId val="1"/>
      <sheetId val="5"/>
      <sheetId val="3"/>
      <sheetId val="4"/>
    </sheetIdMap>
  </header>
  <header guid="{92662E47-1816-4385-B3DB-3A5BDF8D9A1D}" dateTime="2020-04-22T16:12:37" maxSheetId="6" userName="Thaiany Antunes" r:id="rId303" minRId="4301">
    <sheetIdMap count="5">
      <sheetId val="2"/>
      <sheetId val="1"/>
      <sheetId val="5"/>
      <sheetId val="3"/>
      <sheetId val="4"/>
    </sheetIdMap>
  </header>
  <header guid="{33470132-5324-4D96-AC4C-2706DBA65DBE}" dateTime="2020-04-22T17:27:03" maxSheetId="6" userName="Fabienia Paula" r:id="rId304" minRId="4302" maxRId="4303">
    <sheetIdMap count="5">
      <sheetId val="2"/>
      <sheetId val="1"/>
      <sheetId val="5"/>
      <sheetId val="3"/>
      <sheetId val="4"/>
    </sheetIdMap>
  </header>
  <header guid="{358F1B34-60E7-4B78-9E17-1C7210AE3B9F}" dateTime="2020-04-22T17:58:57" maxSheetId="6" userName="Carlos Henrique" r:id="rId305">
    <sheetIdMap count="5">
      <sheetId val="2"/>
      <sheetId val="1"/>
      <sheetId val="5"/>
      <sheetId val="3"/>
      <sheetId val="4"/>
    </sheetIdMap>
  </header>
  <header guid="{6D94447B-BF0E-40EE-8582-092658FB248D}" dateTime="2020-04-23T10:19:21" maxSheetId="6" userName="Thaiany Antunes" r:id="rId306" minRId="4304">
    <sheetIdMap count="5">
      <sheetId val="2"/>
      <sheetId val="1"/>
      <sheetId val="5"/>
      <sheetId val="3"/>
      <sheetId val="4"/>
    </sheetIdMap>
  </header>
  <header guid="{D4E48160-9DEE-4322-B54F-7645B19C7939}" dateTime="2020-04-23T10:37:18" maxSheetId="6" userName="Thaiany Antunes" r:id="rId307" minRId="4305">
    <sheetIdMap count="5">
      <sheetId val="2"/>
      <sheetId val="1"/>
      <sheetId val="5"/>
      <sheetId val="3"/>
      <sheetId val="4"/>
    </sheetIdMap>
  </header>
  <header guid="{692EB83B-474A-45CB-8853-5882B673749F}" dateTime="2020-04-23T11:14:43" maxSheetId="6" userName="Thaiany Antunes" r:id="rId308" minRId="4306">
    <sheetIdMap count="5">
      <sheetId val="2"/>
      <sheetId val="1"/>
      <sheetId val="5"/>
      <sheetId val="3"/>
      <sheetId val="4"/>
    </sheetIdMap>
  </header>
  <header guid="{747EFF09-812B-4C5E-9F36-3773B11BFE63}" dateTime="2020-04-23T15:10:59" maxSheetId="6" userName="Thaiany Antunes" r:id="rId309" minRId="4307">
    <sheetIdMap count="5">
      <sheetId val="2"/>
      <sheetId val="1"/>
      <sheetId val="5"/>
      <sheetId val="3"/>
      <sheetId val="4"/>
    </sheetIdMap>
  </header>
  <header guid="{A31D7506-285D-41F2-840F-EF9BF17F1D54}" dateTime="2020-04-23T15:44:32" maxSheetId="6" userName="Thaiany Antunes" r:id="rId310" minRId="4308">
    <sheetIdMap count="5">
      <sheetId val="2"/>
      <sheetId val="1"/>
      <sheetId val="5"/>
      <sheetId val="3"/>
      <sheetId val="4"/>
    </sheetIdMap>
  </header>
  <header guid="{E426FD4F-EA07-40E4-BBC8-DF16CD7F80B3}" dateTime="2020-04-23T16:55:14" maxSheetId="6" userName="Marcela Mendes" r:id="rId311" minRId="4309">
    <sheetIdMap count="5">
      <sheetId val="2"/>
      <sheetId val="1"/>
      <sheetId val="5"/>
      <sheetId val="3"/>
      <sheetId val="4"/>
    </sheetIdMap>
  </header>
  <header guid="{FEC216BE-B67E-4B95-A0E2-B7F92ACD319D}" dateTime="2020-04-24T08:49:52" maxSheetId="6" userName="Fabienia Paula" r:id="rId312" minRId="4313" maxRId="4316">
    <sheetIdMap count="5">
      <sheetId val="2"/>
      <sheetId val="1"/>
      <sheetId val="5"/>
      <sheetId val="3"/>
      <sheetId val="4"/>
    </sheetIdMap>
  </header>
  <header guid="{07FED3D8-6961-4844-B8D4-ADCC83138DFE}" dateTime="2020-04-24T09:36:43" maxSheetId="6" userName="Thaiany Antunes" r:id="rId313" minRId="4320">
    <sheetIdMap count="5">
      <sheetId val="2"/>
      <sheetId val="1"/>
      <sheetId val="5"/>
      <sheetId val="3"/>
      <sheetId val="4"/>
    </sheetIdMap>
  </header>
  <header guid="{9A78E3A0-55E2-4915-BD50-70E4ECB4A7A1}" dateTime="2020-04-24T10:26:45" maxSheetId="6" userName="Marcela Mendes" r:id="rId314" minRId="4321" maxRId="4322">
    <sheetIdMap count="5">
      <sheetId val="2"/>
      <sheetId val="1"/>
      <sheetId val="5"/>
      <sheetId val="3"/>
      <sheetId val="4"/>
    </sheetIdMap>
  </header>
  <header guid="{C7B59124-A3BE-4DC2-A6AA-ED0FED7983E3}" dateTime="2020-04-24T10:48:00" maxSheetId="6" userName="Thaiany Antunes" r:id="rId315" minRId="4326" maxRId="4327">
    <sheetIdMap count="5">
      <sheetId val="2"/>
      <sheetId val="1"/>
      <sheetId val="5"/>
      <sheetId val="3"/>
      <sheetId val="4"/>
    </sheetIdMap>
  </header>
  <header guid="{4336F757-DF65-45AB-8D0B-B59D4BDA459A}" dateTime="2020-04-24T12:10:34" maxSheetId="6" userName="Thaiany Antunes" r:id="rId316" minRId="4328">
    <sheetIdMap count="5">
      <sheetId val="2"/>
      <sheetId val="1"/>
      <sheetId val="5"/>
      <sheetId val="3"/>
      <sheetId val="4"/>
    </sheetIdMap>
  </header>
  <header guid="{DC292B68-C977-4D7E-832F-0AA6184331F3}" dateTime="2020-04-27T09:04:25" maxSheetId="6" userName="Carlos Henrique" r:id="rId317" minRId="4332">
    <sheetIdMap count="5">
      <sheetId val="2"/>
      <sheetId val="1"/>
      <sheetId val="5"/>
      <sheetId val="3"/>
      <sheetId val="4"/>
    </sheetIdMap>
  </header>
  <header guid="{AE982C42-3E9C-4B13-86B1-D0E31561921A}" dateTime="2020-04-27T09:05:14" maxSheetId="6" userName="Carlos Henrique" r:id="rId318" minRId="4335">
    <sheetIdMap count="5">
      <sheetId val="2"/>
      <sheetId val="1"/>
      <sheetId val="5"/>
      <sheetId val="3"/>
      <sheetId val="4"/>
    </sheetIdMap>
  </header>
  <header guid="{B86BE57B-1C01-460B-A9F0-3E3361ED4F9B}" dateTime="2020-04-28T13:38:46" maxSheetId="6" userName="Thaiany Antunes" r:id="rId319" minRId="4336">
    <sheetIdMap count="5">
      <sheetId val="2"/>
      <sheetId val="1"/>
      <sheetId val="5"/>
      <sheetId val="3"/>
      <sheetId val="4"/>
    </sheetIdMap>
  </header>
  <header guid="{A7E5A8B9-B316-4BCA-A32F-CF578514F0CE}" dateTime="2020-04-28T14:15:09" maxSheetId="6" userName="Carlos Henrique" r:id="rId320" minRId="4337">
    <sheetIdMap count="5">
      <sheetId val="2"/>
      <sheetId val="1"/>
      <sheetId val="5"/>
      <sheetId val="3"/>
      <sheetId val="4"/>
    </sheetIdMap>
  </header>
  <header guid="{6AA91A43-D6E2-481F-96B7-947FFBA8E755}" dateTime="2020-04-28T15:09:16" maxSheetId="6" userName="Marcela Mendes" r:id="rId321" minRId="4338">
    <sheetIdMap count="5">
      <sheetId val="2"/>
      <sheetId val="1"/>
      <sheetId val="5"/>
      <sheetId val="3"/>
      <sheetId val="4"/>
    </sheetIdMap>
  </header>
  <header guid="{4C75FCEF-E93B-46A2-A69C-2DF3124E73BB}" dateTime="2020-04-28T19:14:46" maxSheetId="6" userName="Carlos Henrique" r:id="rId322">
    <sheetIdMap count="5">
      <sheetId val="2"/>
      <sheetId val="1"/>
      <sheetId val="5"/>
      <sheetId val="3"/>
      <sheetId val="4"/>
    </sheetIdMap>
  </header>
  <header guid="{3E316C12-66C1-442E-8640-6B0FE36332D1}" dateTime="2020-04-29T17:17:07" maxSheetId="6" userName="Thaiany Antunes" r:id="rId323" minRId="4339" maxRId="4340">
    <sheetIdMap count="5">
      <sheetId val="2"/>
      <sheetId val="1"/>
      <sheetId val="5"/>
      <sheetId val="3"/>
      <sheetId val="4"/>
    </sheetIdMap>
  </header>
  <header guid="{6C82432E-4A93-4395-A0A5-853B7EE1A763}" dateTime="2020-04-29T17:21:15" maxSheetId="6" userName="Thaiany Antunes" r:id="rId324" minRId="4341">
    <sheetIdMap count="5">
      <sheetId val="2"/>
      <sheetId val="1"/>
      <sheetId val="5"/>
      <sheetId val="3"/>
      <sheetId val="4"/>
    </sheetIdMap>
  </header>
  <header guid="{AE59EC9C-42F8-4B12-90B7-DCC5C73EF11A}" dateTime="2020-04-29T17:28:53" maxSheetId="6" userName="Sullaine Nascimento" r:id="rId325">
    <sheetIdMap count="5">
      <sheetId val="2"/>
      <sheetId val="1"/>
      <sheetId val="5"/>
      <sheetId val="3"/>
      <sheetId val="4"/>
    </sheetIdMap>
  </header>
  <header guid="{CEED0789-FF7F-4BC5-BDFE-94D93D19A45B}" dateTime="2020-04-30T09:40:28" maxSheetId="6" userName="Thaiany Antunes" r:id="rId326" minRId="4344">
    <sheetIdMap count="5">
      <sheetId val="2"/>
      <sheetId val="1"/>
      <sheetId val="5"/>
      <sheetId val="3"/>
      <sheetId val="4"/>
    </sheetIdMap>
  </header>
  <header guid="{58A39D79-00C1-4390-9A63-B216699BB036}" dateTime="2020-04-30T18:02:27" maxSheetId="6" userName="Marcela Mendes" r:id="rId327" minRId="4345" maxRId="4346">
    <sheetIdMap count="5">
      <sheetId val="2"/>
      <sheetId val="1"/>
      <sheetId val="5"/>
      <sheetId val="3"/>
      <sheetId val="4"/>
    </sheetIdMap>
  </header>
  <header guid="{6F6367D4-7699-42A7-9699-38CEACC8BA21}" dateTime="2020-04-30T20:08:11" maxSheetId="6" userName="Marcela Mendes" r:id="rId328">
    <sheetIdMap count="5">
      <sheetId val="2"/>
      <sheetId val="1"/>
      <sheetId val="5"/>
      <sheetId val="3"/>
      <sheetId val="4"/>
    </sheetIdMap>
  </header>
  <header guid="{F52C8883-1676-494B-9725-2446A2058B44}" dateTime="2020-05-01T09:00:28" maxSheetId="6" userName="Marcela Mendes" r:id="rId329" minRId="4350">
    <sheetIdMap count="5">
      <sheetId val="2"/>
      <sheetId val="1"/>
      <sheetId val="5"/>
      <sheetId val="3"/>
      <sheetId val="4"/>
    </sheetIdMap>
  </header>
  <header guid="{4A6EB745-C9EE-4DAC-95BF-01DD8D04AC38}" dateTime="2020-05-04T09:31:20" maxSheetId="6" userName="Thaiany Antunes" r:id="rId330" minRId="4354">
    <sheetIdMap count="5">
      <sheetId val="2"/>
      <sheetId val="1"/>
      <sheetId val="5"/>
      <sheetId val="3"/>
      <sheetId val="4"/>
    </sheetIdMap>
  </header>
  <header guid="{7FC3564F-C950-4C3E-9B07-EFEE63561896}" dateTime="2020-05-04T16:42:58" maxSheetId="6" userName="Carlos Henrique" r:id="rId331" minRId="4355" maxRId="4356">
    <sheetIdMap count="5">
      <sheetId val="2"/>
      <sheetId val="1"/>
      <sheetId val="5"/>
      <sheetId val="3"/>
      <sheetId val="4"/>
    </sheetIdMap>
  </header>
  <header guid="{03059423-21A1-4974-B5F7-C02A035E85FE}" dateTime="2020-05-05T09:41:55" maxSheetId="6" userName="Carlos Henrique" r:id="rId332" minRId="4357">
    <sheetIdMap count="5">
      <sheetId val="2"/>
      <sheetId val="1"/>
      <sheetId val="5"/>
      <sheetId val="3"/>
      <sheetId val="4"/>
    </sheetIdMap>
  </header>
  <header guid="{7C7C694C-E6BE-4356-B581-C1F0B0791FCF}" dateTime="2020-05-05T11:46:34" maxSheetId="6" userName="Thaiany Antunes" r:id="rId333" minRId="4360" maxRId="4367">
    <sheetIdMap count="5">
      <sheetId val="2"/>
      <sheetId val="1"/>
      <sheetId val="5"/>
      <sheetId val="3"/>
      <sheetId val="4"/>
    </sheetIdMap>
  </header>
  <header guid="{683A5C6F-6D5F-476E-8CFC-8E7C3D9E6749}" dateTime="2020-05-05T14:02:03" maxSheetId="6" userName="Fabienia Paula" r:id="rId334" minRId="4368">
    <sheetIdMap count="5">
      <sheetId val="2"/>
      <sheetId val="1"/>
      <sheetId val="5"/>
      <sheetId val="3"/>
      <sheetId val="4"/>
    </sheetIdMap>
  </header>
  <header guid="{6E9D7C81-B4D9-4B1E-A042-137905E28A84}" dateTime="2020-05-05T16:33:34" maxSheetId="6" userName="Carlos Henrique" r:id="rId335" minRId="4369">
    <sheetIdMap count="5">
      <sheetId val="2"/>
      <sheetId val="1"/>
      <sheetId val="5"/>
      <sheetId val="3"/>
      <sheetId val="4"/>
    </sheetIdMap>
  </header>
  <header guid="{48CA4339-1E4F-44D9-A095-56A4CA93ED43}" dateTime="2020-05-06T09:18:37" maxSheetId="6" userName="Fabienia Paula" r:id="rId336" minRId="4370">
    <sheetIdMap count="5">
      <sheetId val="2"/>
      <sheetId val="1"/>
      <sheetId val="5"/>
      <sheetId val="3"/>
      <sheetId val="4"/>
    </sheetIdMap>
  </header>
  <header guid="{B3AABE30-6151-4ECB-99F4-6BDE996AE0C7}" dateTime="2020-05-06T14:21:12" maxSheetId="6" userName="Carlos Henrique" r:id="rId337" minRId="4371">
    <sheetIdMap count="5">
      <sheetId val="2"/>
      <sheetId val="1"/>
      <sheetId val="5"/>
      <sheetId val="3"/>
      <sheetId val="4"/>
    </sheetIdMap>
  </header>
  <header guid="{1A6C6708-C98B-42EB-95FD-C22ADEC83D17}" dateTime="2020-05-06T16:49:18" maxSheetId="6" userName="Carlos Henrique" r:id="rId338" minRId="4374">
    <sheetIdMap count="5">
      <sheetId val="2"/>
      <sheetId val="1"/>
      <sheetId val="5"/>
      <sheetId val="3"/>
      <sheetId val="4"/>
    </sheetIdMap>
  </header>
  <header guid="{C71CEFC2-FA7D-4CFB-9333-EE99CE9A3BDC}" dateTime="2020-05-06T16:49:30" maxSheetId="6" userName="Carlos Henrique" r:id="rId339" minRId="4375">
    <sheetIdMap count="5">
      <sheetId val="2"/>
      <sheetId val="1"/>
      <sheetId val="5"/>
      <sheetId val="3"/>
      <sheetId val="4"/>
    </sheetIdMap>
  </header>
  <header guid="{C6FA2264-97F4-471A-AF20-6D3E03168A5A}" dateTime="2020-05-07T10:01:02" maxSheetId="6" userName="Carlos Henrique" r:id="rId340" minRId="4376">
    <sheetIdMap count="5">
      <sheetId val="2"/>
      <sheetId val="1"/>
      <sheetId val="5"/>
      <sheetId val="3"/>
      <sheetId val="4"/>
    </sheetIdMap>
  </header>
  <header guid="{40AFFDE8-FC80-4A74-AE1D-74269B745E3D}" dateTime="2020-05-07T11:02:43" maxSheetId="6" userName="Marcela Mendes" r:id="rId341" minRId="4379" maxRId="4393">
    <sheetIdMap count="5">
      <sheetId val="2"/>
      <sheetId val="1"/>
      <sheetId val="5"/>
      <sheetId val="3"/>
      <sheetId val="4"/>
    </sheetIdMap>
  </header>
  <header guid="{5F5092E4-C3BF-4B86-8789-314D73AC335F}" dateTime="2020-05-07T11:26:03" maxSheetId="6" userName="Marcela Mendes" r:id="rId342" minRId="4397" maxRId="4398">
    <sheetIdMap count="5">
      <sheetId val="2"/>
      <sheetId val="1"/>
      <sheetId val="5"/>
      <sheetId val="3"/>
      <sheetId val="4"/>
    </sheetIdMap>
  </header>
  <header guid="{6A7E1403-15A6-41FF-A057-240AA8513C4D}" dateTime="2020-05-07T13:45:13" maxSheetId="6" userName="Fabienia Paula" r:id="rId343" minRId="4402">
    <sheetIdMap count="5">
      <sheetId val="2"/>
      <sheetId val="1"/>
      <sheetId val="5"/>
      <sheetId val="3"/>
      <sheetId val="4"/>
    </sheetIdMap>
  </header>
  <header guid="{D3E8795E-28BE-44B7-A735-A16DE7FD75F1}" dateTime="2020-05-07T18:20:19" maxSheetId="6" userName="Carlos Henrique" r:id="rId344" minRId="4403" maxRId="4406">
    <sheetIdMap count="5">
      <sheetId val="2"/>
      <sheetId val="1"/>
      <sheetId val="5"/>
      <sheetId val="3"/>
      <sheetId val="4"/>
    </sheetIdMap>
  </header>
  <header guid="{D0DC0780-D557-41AB-AB91-4F870A63D993}" dateTime="2020-05-08T10:02:32" maxSheetId="6" userName="Thaiany Antunes" r:id="rId345">
    <sheetIdMap count="5">
      <sheetId val="2"/>
      <sheetId val="1"/>
      <sheetId val="5"/>
      <sheetId val="3"/>
      <sheetId val="4"/>
    </sheetIdMap>
  </header>
  <header guid="{BB76253A-3F86-43E3-9262-D4DB90A81FA7}" dateTime="2020-05-08T12:02:52" maxSheetId="6" userName="Natalia Gerheim" r:id="rId346">
    <sheetIdMap count="5">
      <sheetId val="2"/>
      <sheetId val="1"/>
      <sheetId val="5"/>
      <sheetId val="3"/>
      <sheetId val="4"/>
    </sheetIdMap>
  </header>
  <header guid="{5F351352-8EA1-4921-8243-725D3D4056A8}" dateTime="2020-05-11T10:41:28" maxSheetId="6" userName="Thaiany Antunes" r:id="rId347" minRId="4412">
    <sheetIdMap count="5">
      <sheetId val="2"/>
      <sheetId val="1"/>
      <sheetId val="5"/>
      <sheetId val="3"/>
      <sheetId val="4"/>
    </sheetIdMap>
  </header>
  <header guid="{7AC0A8FA-1EA3-4544-9F1A-2F52234359AF}" dateTime="2020-05-14T15:35:40" maxSheetId="6" userName="Fabienia Paula" r:id="rId348" minRId="4413">
    <sheetIdMap count="5">
      <sheetId val="2"/>
      <sheetId val="1"/>
      <sheetId val="5"/>
      <sheetId val="3"/>
      <sheetId val="4"/>
    </sheetIdMap>
  </header>
  <header guid="{7FD87A74-AFE3-473B-9143-9E6448279180}" dateTime="2020-05-14T15:36:06" maxSheetId="6" userName="Fabienia Paula" r:id="rId349" minRId="4417">
    <sheetIdMap count="5">
      <sheetId val="2"/>
      <sheetId val="1"/>
      <sheetId val="5"/>
      <sheetId val="3"/>
      <sheetId val="4"/>
    </sheetIdMap>
  </header>
  <header guid="{F99710E9-216D-4297-8159-88FD6EC3244A}" dateTime="2020-05-14T15:37:40" maxSheetId="6" userName="Fabienia Paula" r:id="rId350" minRId="4418" maxRId="4420">
    <sheetIdMap count="5">
      <sheetId val="2"/>
      <sheetId val="1"/>
      <sheetId val="5"/>
      <sheetId val="3"/>
      <sheetId val="4"/>
    </sheetIdMap>
  </header>
  <header guid="{FFEF728D-23E5-46CE-B935-ECAD1986616B}" dateTime="2020-05-14T15:38:59" maxSheetId="6" userName="Fabienia Paula" r:id="rId351" minRId="4421" maxRId="4422">
    <sheetIdMap count="5">
      <sheetId val="2"/>
      <sheetId val="1"/>
      <sheetId val="5"/>
      <sheetId val="3"/>
      <sheetId val="4"/>
    </sheetIdMap>
  </header>
  <header guid="{14A17CA9-8E5D-4BE7-BC2E-968E56642D52}" dateTime="2020-05-14T15:43:55" maxSheetId="6" userName="Fabienia Paula" r:id="rId352" minRId="4423" maxRId="4427">
    <sheetIdMap count="5">
      <sheetId val="2"/>
      <sheetId val="1"/>
      <sheetId val="5"/>
      <sheetId val="3"/>
      <sheetId val="4"/>
    </sheetIdMap>
  </header>
  <header guid="{F4E8FCCC-D127-4E79-B72E-5EEEE4A9FD5C}" dateTime="2020-05-14T15:59:34" maxSheetId="6" userName="Fabienia Paula" r:id="rId353">
    <sheetIdMap count="5">
      <sheetId val="2"/>
      <sheetId val="1"/>
      <sheetId val="5"/>
      <sheetId val="3"/>
      <sheetId val="4"/>
    </sheetIdMap>
  </header>
  <header guid="{1CA8DFD7-9ACD-47B0-8646-7D245DA43B56}" dateTime="2020-05-14T18:07:21" maxSheetId="6" userName="Marcela Mendes" r:id="rId354" minRId="4431">
    <sheetIdMap count="5">
      <sheetId val="2"/>
      <sheetId val="1"/>
      <sheetId val="5"/>
      <sheetId val="3"/>
      <sheetId val="4"/>
    </sheetIdMap>
  </header>
  <header guid="{55F58891-13F2-4429-BCA4-2E1DFBD85B98}" dateTime="2020-05-15T17:16:43" maxSheetId="6" userName="Thaiany Antunes" r:id="rId355" minRId="4435">
    <sheetIdMap count="5">
      <sheetId val="2"/>
      <sheetId val="1"/>
      <sheetId val="5"/>
      <sheetId val="3"/>
      <sheetId val="4"/>
    </sheetIdMap>
  </header>
  <header guid="{5550A965-D3E6-4A83-AD9B-564B84F86402}" dateTime="2020-05-15T17:42:55" maxSheetId="6" userName="Thaiany Antunes" r:id="rId356">
    <sheetIdMap count="5">
      <sheetId val="2"/>
      <sheetId val="1"/>
      <sheetId val="5"/>
      <sheetId val="3"/>
      <sheetId val="4"/>
    </sheetIdMap>
  </header>
  <header guid="{CB5B8F59-63BB-4C1A-8F19-D41208FE8A1F}" dateTime="2020-05-18T10:31:22" maxSheetId="6" userName="Marcela Mendes" r:id="rId357" minRId="4439" maxRId="4466">
    <sheetIdMap count="5">
      <sheetId val="2"/>
      <sheetId val="1"/>
      <sheetId val="5"/>
      <sheetId val="3"/>
      <sheetId val="4"/>
    </sheetIdMap>
  </header>
  <header guid="{6F5F23F3-05AC-4155-8F24-1FFD629AF0E7}" dateTime="2020-05-18T10:31:39" maxSheetId="6" userName="Marcela Mendes" r:id="rId358" minRId="4467" maxRId="4556">
    <sheetIdMap count="5">
      <sheetId val="2"/>
      <sheetId val="1"/>
      <sheetId val="5"/>
      <sheetId val="3"/>
      <sheetId val="4"/>
    </sheetIdMap>
  </header>
  <header guid="{84FE2C60-B2E3-48CB-B204-8A1BE7D56D1B}" dateTime="2020-05-18T10:51:06" maxSheetId="6" userName="Carlos Henrique" r:id="rId359" minRId="4557">
    <sheetIdMap count="5">
      <sheetId val="2"/>
      <sheetId val="1"/>
      <sheetId val="5"/>
      <sheetId val="3"/>
      <sheetId val="4"/>
    </sheetIdMap>
  </header>
  <header guid="{219EE226-A00E-4CCD-B4A1-C4DA7292AE81}" dateTime="2020-05-19T09:16:54" maxSheetId="6" userName="Carlos Henrique" r:id="rId360" minRId="4558">
    <sheetIdMap count="5">
      <sheetId val="2"/>
      <sheetId val="1"/>
      <sheetId val="5"/>
      <sheetId val="3"/>
      <sheetId val="4"/>
    </sheetIdMap>
  </header>
  <header guid="{B79284BD-CF81-4266-BA8A-2BFC38675510}" dateTime="2020-05-19T09:33:12" maxSheetId="6" userName="Carlos Henrique" r:id="rId361" minRId="4559">
    <sheetIdMap count="5">
      <sheetId val="2"/>
      <sheetId val="1"/>
      <sheetId val="5"/>
      <sheetId val="3"/>
      <sheetId val="4"/>
    </sheetIdMap>
  </header>
  <header guid="{85980AA9-DAE7-48FA-90E4-DDB51894E3D9}" dateTime="2020-05-19T10:10:22" maxSheetId="6" userName="Carlos Henrique" r:id="rId362" minRId="4560">
    <sheetIdMap count="5">
      <sheetId val="2"/>
      <sheetId val="1"/>
      <sheetId val="5"/>
      <sheetId val="3"/>
      <sheetId val="4"/>
    </sheetIdMap>
  </header>
  <header guid="{8D5C5414-A2EA-43B1-A75D-F4A3BD06F6BB}" dateTime="2020-05-19T10:39:45" maxSheetId="6" userName="Carlos Henrique" r:id="rId363" minRId="4561">
    <sheetIdMap count="5">
      <sheetId val="2"/>
      <sheetId val="1"/>
      <sheetId val="5"/>
      <sheetId val="3"/>
      <sheetId val="4"/>
    </sheetIdMap>
  </header>
  <header guid="{3F76020B-600C-489D-9628-DC33710F02D2}" dateTime="2020-05-19T11:21:37" maxSheetId="6" userName="Carlos Henrique" r:id="rId364" minRId="4562" maxRId="4563">
    <sheetIdMap count="5">
      <sheetId val="2"/>
      <sheetId val="1"/>
      <sheetId val="5"/>
      <sheetId val="3"/>
      <sheetId val="4"/>
    </sheetIdMap>
  </header>
  <header guid="{F467D9F8-CA95-40B2-A639-B3C71CC23938}" dateTime="2020-05-19T11:22:49" maxSheetId="6" userName="Carlos Henrique" r:id="rId365" minRId="4564" maxRId="4567">
    <sheetIdMap count="5">
      <sheetId val="2"/>
      <sheetId val="1"/>
      <sheetId val="5"/>
      <sheetId val="3"/>
      <sheetId val="4"/>
    </sheetIdMap>
  </header>
  <header guid="{41CB055D-131D-45BF-96A8-C30DDECE60CE}" dateTime="2020-05-19T11:23:53" maxSheetId="6" userName="Carlos Henrique" r:id="rId366" minRId="4570" maxRId="4573">
    <sheetIdMap count="5">
      <sheetId val="2"/>
      <sheetId val="1"/>
      <sheetId val="5"/>
      <sheetId val="3"/>
      <sheetId val="4"/>
    </sheetIdMap>
  </header>
  <header guid="{4220A872-1A3E-4CDB-8256-42871B74A9E5}" dateTime="2020-05-19T11:41:00" maxSheetId="6" userName="Carlos Henrique" r:id="rId367" minRId="4574" maxRId="4575">
    <sheetIdMap count="5">
      <sheetId val="2"/>
      <sheetId val="1"/>
      <sheetId val="5"/>
      <sheetId val="3"/>
      <sheetId val="4"/>
    </sheetIdMap>
  </header>
  <header guid="{9C6A8A37-3E4D-4F4D-A6D9-8FAF1B5E0A99}" dateTime="2020-05-19T15:13:00" maxSheetId="6" userName="Marcela Mendes" r:id="rId368" minRId="4578">
    <sheetIdMap count="5">
      <sheetId val="2"/>
      <sheetId val="1"/>
      <sheetId val="5"/>
      <sheetId val="3"/>
      <sheetId val="4"/>
    </sheetIdMap>
  </header>
  <header guid="{B73B65C4-D261-4F25-B5BA-349069C7CEE7}" dateTime="2020-05-19T15:13:57" maxSheetId="6" userName="Fabienia Paula" r:id="rId369" minRId="4582" maxRId="4586">
    <sheetIdMap count="5">
      <sheetId val="2"/>
      <sheetId val="1"/>
      <sheetId val="5"/>
      <sheetId val="3"/>
      <sheetId val="4"/>
    </sheetIdMap>
  </header>
  <header guid="{539395E0-3D84-403F-A36F-43C221956A4F}" dateTime="2020-05-19T16:04:01" maxSheetId="6" userName="Carlos Henrique" r:id="rId370">
    <sheetIdMap count="5">
      <sheetId val="2"/>
      <sheetId val="1"/>
      <sheetId val="5"/>
      <sheetId val="3"/>
      <sheetId val="4"/>
    </sheetIdMap>
  </header>
  <header guid="{D655D52E-5090-46B0-9D08-B21E1C9EDBEF}" dateTime="2020-05-19T17:53:15" maxSheetId="6" userName="Thaiany Antunes" r:id="rId371" minRId="4592">
    <sheetIdMap count="5">
      <sheetId val="2"/>
      <sheetId val="1"/>
      <sheetId val="5"/>
      <sheetId val="3"/>
      <sheetId val="4"/>
    </sheetIdMap>
  </header>
  <header guid="{0398A28E-2FDA-4958-A20C-13177FC547F9}" dateTime="2020-05-19T17:53:21" maxSheetId="6" userName="Thaiany Antunes" r:id="rId372" minRId="4593">
    <sheetIdMap count="5">
      <sheetId val="2"/>
      <sheetId val="1"/>
      <sheetId val="5"/>
      <sheetId val="3"/>
      <sheetId val="4"/>
    </sheetIdMap>
  </header>
  <header guid="{B9FB7BBD-0D47-4446-A078-56701061D692}" dateTime="2020-05-20T11:07:21" maxSheetId="6" userName="Fabienia Paula" r:id="rId373" minRId="4594">
    <sheetIdMap count="5">
      <sheetId val="2"/>
      <sheetId val="1"/>
      <sheetId val="5"/>
      <sheetId val="3"/>
      <sheetId val="4"/>
    </sheetIdMap>
  </header>
  <header guid="{16855566-E5A0-4978-943F-9864A8D3420C}" dateTime="2020-05-20T11:08:04" maxSheetId="6" userName="Fabienia Paula" r:id="rId374" minRId="4595">
    <sheetIdMap count="5">
      <sheetId val="2"/>
      <sheetId val="1"/>
      <sheetId val="5"/>
      <sheetId val="3"/>
      <sheetId val="4"/>
    </sheetIdMap>
  </header>
  <header guid="{A4F82462-9726-4BDB-81C1-79EBD4CB7AA1}" dateTime="2020-05-20T11:50:55" maxSheetId="6" userName="Franciele Souza" r:id="rId375" minRId="4596" maxRId="4605">
    <sheetIdMap count="5">
      <sheetId val="2"/>
      <sheetId val="1"/>
      <sheetId val="5"/>
      <sheetId val="3"/>
      <sheetId val="4"/>
    </sheetIdMap>
  </header>
  <header guid="{7A37D062-B350-48A8-A040-B27B564AA918}" dateTime="2020-05-20T11:59:52" maxSheetId="6" userName="Franciele Souza" r:id="rId376">
    <sheetIdMap count="5">
      <sheetId val="2"/>
      <sheetId val="1"/>
      <sheetId val="5"/>
      <sheetId val="3"/>
      <sheetId val="4"/>
    </sheetIdMap>
  </header>
  <header guid="{AFD60E0F-827F-41FD-AB40-D99A8E6812AB}" dateTime="2020-05-20T14:14:39" maxSheetId="6" userName="Marcela Mendes" r:id="rId377" minRId="4612" maxRId="4658">
    <sheetIdMap count="5">
      <sheetId val="2"/>
      <sheetId val="1"/>
      <sheetId val="5"/>
      <sheetId val="3"/>
      <sheetId val="4"/>
    </sheetIdMap>
  </header>
  <header guid="{CC7D8790-C849-4F37-A500-1917AF51F8EB}" dateTime="2020-05-20T14:25:37" maxSheetId="6" userName="Marcela Mendes" r:id="rId378" minRId="4659" maxRId="4672">
    <sheetIdMap count="5">
      <sheetId val="2"/>
      <sheetId val="1"/>
      <sheetId val="5"/>
      <sheetId val="3"/>
      <sheetId val="4"/>
    </sheetIdMap>
  </header>
  <header guid="{95CAD613-4B10-4C47-95D3-97518274743F}" dateTime="2020-05-21T09:23:15" maxSheetId="6" userName="Fabienia Paula" r:id="rId379" minRId="4673">
    <sheetIdMap count="5">
      <sheetId val="2"/>
      <sheetId val="1"/>
      <sheetId val="5"/>
      <sheetId val="3"/>
      <sheetId val="4"/>
    </sheetIdMap>
  </header>
  <header guid="{34DF07B3-FD19-4DE5-93E0-E20FFE372DF1}" dateTime="2020-05-21T09:29:54" maxSheetId="6" userName="Iaskara Paulino" r:id="rId380" minRId="4674" maxRId="4675">
    <sheetIdMap count="5">
      <sheetId val="2"/>
      <sheetId val="1"/>
      <sheetId val="5"/>
      <sheetId val="3"/>
      <sheetId val="4"/>
    </sheetIdMap>
  </header>
  <header guid="{AD7210FC-229B-4FAB-A4AF-99CCEA9C3FE8}" dateTime="2020-05-21T13:46:07" maxSheetId="6" userName="Iaskara Paulino" r:id="rId381" minRId="4679">
    <sheetIdMap count="5">
      <sheetId val="2"/>
      <sheetId val="1"/>
      <sheetId val="5"/>
      <sheetId val="3"/>
      <sheetId val="4"/>
    </sheetIdMap>
  </header>
  <header guid="{6A0A8EC0-E854-45F9-9ADE-5887A301F718}" dateTime="2020-05-21T14:41:18" maxSheetId="6" userName="Iaskara Paulino" r:id="rId382" minRId="4680">
    <sheetIdMap count="5">
      <sheetId val="2"/>
      <sheetId val="1"/>
      <sheetId val="5"/>
      <sheetId val="3"/>
      <sheetId val="4"/>
    </sheetIdMap>
  </header>
  <header guid="{715BD9F5-1379-4CD5-9823-57B42376E3FC}" dateTime="2020-05-21T15:39:02" maxSheetId="6" userName="Iaskara Paulino" r:id="rId383" minRId="4681">
    <sheetIdMap count="5">
      <sheetId val="2"/>
      <sheetId val="1"/>
      <sheetId val="5"/>
      <sheetId val="3"/>
      <sheetId val="4"/>
    </sheetIdMap>
  </header>
  <header guid="{C89C998D-E146-4946-8028-F2C9C5E36C29}" dateTime="2020-05-21T16:34:52" maxSheetId="6" userName="Iaskara Paulino" r:id="rId384" minRId="4682" maxRId="4691">
    <sheetIdMap count="5">
      <sheetId val="2"/>
      <sheetId val="1"/>
      <sheetId val="5"/>
      <sheetId val="3"/>
      <sheetId val="4"/>
    </sheetIdMap>
  </header>
  <header guid="{CE845D51-1860-409D-BFD2-549CEBA663F3}" dateTime="2020-05-21T16:35:57" maxSheetId="6" userName="Iaskara Paulino" r:id="rId385" minRId="4692">
    <sheetIdMap count="5">
      <sheetId val="2"/>
      <sheetId val="1"/>
      <sheetId val="5"/>
      <sheetId val="3"/>
      <sheetId val="4"/>
    </sheetIdMap>
  </header>
  <header guid="{3977D6A5-BAD4-4487-8018-13C224DEE9D0}" dateTime="2020-05-21T17:16:25" maxSheetId="6" userName="Marcela Mendes" r:id="rId386" minRId="4693" maxRId="4699">
    <sheetIdMap count="5">
      <sheetId val="2"/>
      <sheetId val="1"/>
      <sheetId val="5"/>
      <sheetId val="3"/>
      <sheetId val="4"/>
    </sheetIdMap>
  </header>
  <header guid="{A47696F0-B8D5-4CC0-8D2C-9098CECEA18B}" dateTime="2020-05-21T18:00:33" maxSheetId="6" userName="Thaiany Antunes" r:id="rId387">
    <sheetIdMap count="5">
      <sheetId val="2"/>
      <sheetId val="1"/>
      <sheetId val="5"/>
      <sheetId val="3"/>
      <sheetId val="4"/>
    </sheetIdMap>
  </header>
  <header guid="{C3ECEC30-B160-43E5-A427-A690EDC889B3}" dateTime="2020-05-21T18:26:15" maxSheetId="6" userName="Marcela Mendes" r:id="rId388">
    <sheetIdMap count="5">
      <sheetId val="2"/>
      <sheetId val="1"/>
      <sheetId val="5"/>
      <sheetId val="3"/>
      <sheetId val="4"/>
    </sheetIdMap>
  </header>
  <header guid="{4D5225E1-E7B5-47E9-8F61-271B279925F7}" dateTime="2020-05-22T08:15:10" maxSheetId="6" userName="Iaskara Paulino" r:id="rId389" minRId="4700">
    <sheetIdMap count="5">
      <sheetId val="2"/>
      <sheetId val="1"/>
      <sheetId val="5"/>
      <sheetId val="3"/>
      <sheetId val="4"/>
    </sheetIdMap>
  </header>
  <header guid="{FA35BA9D-7694-408D-8E44-ECAC4AB44D43}" dateTime="2020-05-22T13:02:21" maxSheetId="6" userName="Thiago Madeira" r:id="rId390">
    <sheetIdMap count="5">
      <sheetId val="1"/>
      <sheetId val="2"/>
      <sheetId val="5"/>
      <sheetId val="3"/>
      <sheetId val="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7" sId="1">
    <oc r="G357" t="inlineStr">
      <is>
        <t>CARL</t>
      </is>
    </oc>
    <nc r="G357" t="inlineStr">
      <is>
        <t>THAI</t>
      </is>
    </nc>
  </rcc>
  <rcc rId="1668" sId="1">
    <oc r="G386" t="inlineStr">
      <is>
        <t>CARL</t>
      </is>
    </oc>
    <nc r="G386" t="inlineStr">
      <is>
        <t>THAI</t>
      </is>
    </nc>
  </rcc>
  <rcc rId="1669" sId="1">
    <oc r="G205" t="inlineStr">
      <is>
        <t>CARL</t>
      </is>
    </oc>
    <nc r="G205" t="inlineStr">
      <is>
        <t>THAI</t>
      </is>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0" sId="1">
    <oc r="H383" t="inlineStr">
      <is>
        <t>N</t>
      </is>
    </oc>
    <nc r="H383" t="inlineStr">
      <is>
        <t>SAIU/BAIXADO</t>
      </is>
    </nc>
  </rcc>
  <rcc rId="1671" sId="1">
    <oc r="L383" t="inlineStr">
      <is>
        <t>Pro labore (   )  
INSS (   )
GFIP (   )                 Inicio 11/2019 verificar faturamento anexo IV - Fator R</t>
      </is>
    </oc>
    <nc r="L383" t="inlineStr">
      <is>
        <r>
          <t xml:space="preserve">Pro labore (   )  
INSS (   )
GFIP (   )                 Inicio 11/2019 verificar faturamento anexo IV - Fator R </t>
        </r>
        <r>
          <rPr>
            <b/>
            <sz val="10"/>
            <color rgb="FFFF0000"/>
            <rFont val="Arial"/>
            <family val="2"/>
          </rPr>
          <t>saiu 02.2020</t>
        </r>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AEEB123-9C5D-4BF0-8F09-E7DEBC62D826}" action="delete"/>
  <rdn rId="0" localSheetId="2" customView="1" name="Z_DAEEB123_9C5D_4BF0_8F09_E7DEBC62D826_.wvu.FilterData" hidden="1" oldHidden="1">
    <formula>Particularidade!$A$1:$D$220</formula>
  </rdn>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Empresas'!$A$1:$M$420</formula>
    <oldFormula>'Controle Empresas'!$A$1:$M$420</oldFormula>
  </rdn>
  <rcv guid="{DAEEB123-9C5D-4BF0-8F09-E7DEBC62D826}"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B153"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822" sId="2" ref="A259:XFD25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823" sId="2">
    <nc r="A259">
      <v>458</v>
    </nc>
  </rcc>
  <rcc rId="3824" sId="2" xfDxf="1" dxf="1">
    <nc r="B259" t="inlineStr">
      <is>
        <t>POPULUS TREINAMENTO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B66" start="0" length="0">
    <dxf>
      <font>
        <sz val="8"/>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dxf>
  </rfmt>
  <rrc rId="3825" sId="2" ref="A93:XFD9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826" sId="2">
    <nc r="A93">
      <v>198</v>
    </nc>
  </rcc>
  <rcc rId="3827" sId="2" xfDxf="1" dxf="1">
    <nc r="B93" t="inlineStr">
      <is>
        <t>SISORC SOFTWARE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B6"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828" sId="2" xfDxf="1" dxf="1">
    <oc r="B6" t="inlineStr">
      <is>
        <t>ARTWORK COMUNICAÇÃO  **</t>
      </is>
    </oc>
    <nc r="B6" t="inlineStr">
      <is>
        <t>ARTWORK COMUNICAÇÃO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107" start="0" length="0">
    <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829" sId="2" xfDxf="1" dxf="1">
    <oc r="B168" t="inlineStr">
      <is>
        <t>RESIDENCIAL GERIATRICO DE APOIO A PESSOA IDOSA (REGAPI)</t>
      </is>
    </oc>
    <nc r="B168" t="inlineStr">
      <is>
        <t>REGAPI MATRIZ</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116" start="0" length="0">
    <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830" sId="2" xfDxf="1" dxf="1">
    <oc r="B194" t="inlineStr">
      <is>
        <t>TK DOCERIA</t>
      </is>
    </oc>
    <nc r="B194" t="inlineStr">
      <is>
        <t>TK DOCERIA LTDA - ME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204" start="0" length="0">
    <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831" sId="2" xfDxf="1" dxf="1">
    <oc r="B313" t="inlineStr">
      <is>
        <t>RESIDENCIAL GERIATRICO DE APOIO A PESSOA IDOSA (REGAPI)</t>
      </is>
    </oc>
    <nc r="B313" t="inlineStr">
      <is>
        <t>REGAPI FILIAL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211" start="0" length="0">
    <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832" sId="2" ref="A338:XFD338"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833" sId="2">
    <nc r="A338">
      <v>578</v>
    </nc>
  </rcc>
  <rcc rId="3834" sId="2" xfDxf="1" dxf="1">
    <nc r="B338" t="inlineStr">
      <is>
        <t>LIDICE CAROLINA LENZ</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417" start="0" length="0">
    <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835" sId="2">
    <nc r="A570">
      <v>1090</v>
    </nc>
  </rcc>
  <rcc rId="3836" sId="2" xfDxf="1" dxf="1">
    <nc r="B570" t="inlineStr">
      <is>
        <t>DANIELLE DE MATTOS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rc rId="3837" sId="2" ref="A568:XFD568"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568:XFD568" start="0" length="0"/>
    <rfmt sheetId="2" sqref="A568"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568"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fmt sheetId="2" sqref="C568"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rc>
  <rrc rId="3838" sId="2" ref="A568:XFD568"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568:XFD568" start="0" length="0"/>
    <rfmt sheetId="2" sqref="A568"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568"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fmt sheetId="2" sqref="C568"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r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9" sId="1">
    <oc r="L382" t="inlineStr">
      <is>
        <r>
          <t xml:space="preserve">Pro labore (   )  Enviar sefip junto c/ recibo(  )  Parc. Ecac (   )
INSS (   )
GFIP (   )                </t>
        </r>
        <r>
          <rPr>
            <sz val="9"/>
            <color rgb="FFFF0000"/>
            <rFont val="Arial"/>
            <family val="2"/>
          </rPr>
          <t xml:space="preserve">  Não cobrar rescisões</t>
        </r>
      </is>
    </oc>
    <nc r="L382" t="inlineStr">
      <is>
        <r>
          <t xml:space="preserve">Pro labore (   )  Enviar sefip junto c/ recibo(  )  
INSS (   )   Parc. Ecac (   )   MANDA MOVIMENTO
GFIP (   )                </t>
        </r>
        <r>
          <rPr>
            <sz val="9"/>
            <color rgb="FFFF0000"/>
            <rFont val="Arial"/>
            <family val="2"/>
          </rPr>
          <t xml:space="preserve">  Não cobrar rescisões</t>
        </r>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Empresas'!$A$235:$L$420</formula>
    <oldFormula>'Controle Empresas'!$A$235:$L$420</oldFormula>
  </rdn>
  <rdn rId="0" localSheetId="1" customView="1" name="Z_44627F90_111A_4938_A3EC_3F862F83F7D7_.wvu.FilterData" hidden="1" oldHidden="1">
    <formula>'Controle Empresas'!$A$1:$M$419</formula>
    <oldFormula>'Controle Empresas'!$A$1:$M$419</oldFormula>
  </rdn>
  <rcv guid="{44627F90-111A-4938-A3EC-3F862F83F7D7}"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43" sId="2">
    <oc r="C419" t="inlineStr">
      <is>
        <r>
          <t>ASTRANSP - LOGIN - 07801908000143 SENHA 32151651 FUNCIONÁRIOS COM VT</t>
        </r>
        <r>
          <rPr>
            <sz val="10"/>
            <color rgb="FFFF0000"/>
            <rFont val="Trebuchet MS"/>
            <family val="2"/>
          </rPr>
          <t xml:space="preserve"> LEONARDO - 1 POR DIA ( vt DO LEONARDO DESCONTA O VALOR DA RECARGA),  ROBERTO 2 POR DIA, ROMERITO 2 POR DIA, OZEAS 2 POR DIA luiggi 2vt por dia </t>
        </r>
        <r>
          <rPr>
            <sz val="10"/>
            <color rgb="FF444444"/>
            <rFont val="Trebuchet MS"/>
            <family val="2"/>
          </rPr>
          <t xml:space="preserve"> /TEM ADIANTAMENTO DE 30%(PARA DIA 15)/ EMPRESA TEM PLANO DE SAÚDE - DESCONTA 20% DA MENSALIDADE INCLUSIVE DOS DEPENDENTES E O VALOR DA COPARTICIPAÇÃO DESCONTA </t>
        </r>
        <r>
          <rPr>
            <sz val="10"/>
            <color rgb="FFFF0000"/>
            <rFont val="Trebuchet MS"/>
            <family val="2"/>
          </rPr>
          <t>apenas 50% a partir de 05/2019</t>
        </r>
        <r>
          <rPr>
            <sz val="10"/>
            <color rgb="FF444444"/>
            <rFont val="Trebuchet MS"/>
            <family val="2"/>
          </rPr>
          <t>/ PLANO ODODNTOLOGICO NÃO DESCONTA/ALELO 325,00 POR MES - ELES FAZEM RECARGA/INSCRITA NO PAT/TEM UMA PESSOA RESPONSÁVEL POR CONTROLE DE EPIS/ LEONARDO - PENSÃO DE 20% SOBRE O SALÁRIO LIQUIDO, TEM RETENÇÃO DE INSS SOBRE AS NOTAS FISCAIS QUE DEVEM SER COMPENSADAS NA GFIP, O CONTROLE DE RETENÇÃO ESTÁ EM DOC COMPARTINHADO / ESCRITÓRIO/ CH VIDON/ COMPENSAÇÃO DE RETENÇÃO DE NOTAS FISCAIS ( COMPENSAR APENAS O VALOR DA GUIA, O VALOR RESTANTE SERÁ PEDIDO PERD COMP PELO CONTABIL)(JANAINA VAI CONFIRMAR SE OS VALORES A COMPENSAR QUE VIERÃO DO OUTRO CONTADOR ESTÃO CORRETOS E SE ESSES VALORES PODEM SER COMPENSADOS EM OUTROS IMPOSTOS ALÉM DO INSS.)</t>
        </r>
        <r>
          <rPr>
            <sz val="10"/>
            <color rgb="FFFF0000"/>
            <rFont val="Trebuchet MS"/>
            <family val="2"/>
          </rPr>
          <t xml:space="preserve"> A cada 5 anos de casa reajustar em 5 %. Não incide inss no 1/3 de férias, funcionários são alocados nos serviços pedir a Ana a planilha de alocação.</t>
        </r>
        <r>
          <rPr>
            <sz val="10"/>
            <rFont val="Trebuchet MS"/>
            <family val="2"/>
          </rPr>
          <t>ALGUNS FUNCIONARIOS ESTÃO COM PARCELAMENTO ATÉ MARCO DO PLANO DE SAUDE.</t>
        </r>
      </is>
    </oc>
    <nc r="C419" t="inlineStr">
      <is>
        <r>
          <t>ASTRANSP - LOGIN - 07801908000143 SENHA 32151651 FUNCIONÁRIOS COM VT</t>
        </r>
        <r>
          <rPr>
            <sz val="10"/>
            <color rgb="FFFF0000"/>
            <rFont val="Trebuchet MS"/>
            <family val="2"/>
          </rPr>
          <t xml:space="preserve"> LEONARDO - 1 POR DIA ( vt DO LEONARDO DESCONTA O VALOR DA RECARGA),  ROBERTO 2 POR DIA, ROMERITO 2 POR DIA, OZEAS 2 POR DIA luiggi 2vt por dia </t>
        </r>
        <r>
          <rPr>
            <sz val="10"/>
            <color rgb="FF444444"/>
            <rFont val="Trebuchet MS"/>
            <family val="2"/>
          </rPr>
          <t xml:space="preserve"> /TEM ADIANTAMENTO DE 30%(PARA DIA 15)/ EMPRESA TEM PLANO DE SAÚDE - DESCONTA 20% DA MENSALIDADE INCLUSIVE DOS DEPENDENTES E O VALOR DA COPARTICIPAÇÃO DESCONTA </t>
        </r>
        <r>
          <rPr>
            <sz val="10"/>
            <color rgb="FFFF0000"/>
            <rFont val="Trebuchet MS"/>
            <family val="2"/>
          </rPr>
          <t>apenas 50% a partir de 05/2019</t>
        </r>
        <r>
          <rPr>
            <sz val="10"/>
            <color rgb="FF444444"/>
            <rFont val="Trebuchet MS"/>
            <family val="2"/>
          </rPr>
          <t>/ PLANO ODODNTOLOGICO NÃO DESCONTA/ALELO 325,00 POR MES - ELES FAZEM RECARGA/INSCRITA NO PAT/TEM UMA PESSOA RESPONSÁVEL POR CONTROLE DE EPIS/ LEONARDO - PENSÃO DE 20% SOBRE O SALÁRIO LIQUIDO, TEM RETENÇÃO DE INSS SOBRE AS NOTAS FISCAIS QUE DEVEM SER COMPENSADAS NA GFIP, O CONTROLE DE RETENÇÃO ESTÁ EM: P:\documentos\OneDrive - Novus Contabilidade\Doc Compartilhado\Escritório\CH Vidon\PROCESSOS CH VIDON\PROCESSOS DE INSS\COMPENSAÇÃO DE RETENÇÃO NFSE  ( COMPENSAR APENAS O VALOR DA GUIA, O VALOR RESTANTE SERÁ PEDIDO PERD COMP PELO CONTABIL)(JANAINA VAI CONFIRMAR SE OS VALORES A COMPENSAR QUE VIERÃO DO OUTRO CONTADOR ESTÃO CORRETOS E SE ESSES VALORES PODEM SER COMPENSADOS EM OUTROS IMPOSTOS ALÉM DO INSS.)</t>
        </r>
        <r>
          <rPr>
            <sz val="10"/>
            <color rgb="FFFF0000"/>
            <rFont val="Trebuchet MS"/>
            <family val="2"/>
          </rPr>
          <t xml:space="preserve"> A cada 5 anos de casa reajustar em 5 %. Não incide inss no 1/3 de férias, funcionários são alocados nos serviços pedir a Ana a planilha de alocação.</t>
        </r>
        <r>
          <rPr>
            <sz val="10"/>
            <rFont val="Trebuchet MS"/>
            <family val="2"/>
          </rPr>
          <t>ALGUNS FUNCIONARIOS ESTÃO COM PARCELAMENTO ATÉ MARCO DO PLANO DE SAUDE.</t>
        </r>
      </is>
    </nc>
  </rcc>
  <rcc rId="3844" sId="1">
    <oc r="M1" t="inlineStr">
      <is>
        <t>Anotações</t>
      </is>
    </oc>
    <nc r="M1" t="inlineStr">
      <is>
        <t>PARCELAMENTOS FGTS EM 07/2020(COVID19)</t>
      </is>
    </nc>
  </rcc>
  <rcc rId="3845" sId="1">
    <nc r="M367" t="inlineStr">
      <is>
        <t>SIM</t>
      </is>
    </nc>
  </rcc>
  <rfmt sheetId="1" sqref="M1 M9 M107 M139 M144 M154 M157 M164 M186 M204 M210 M227 M243 M281 M285 M330:M331 M336 M351 M361 M364 M367:M369 M371">
    <dxf>
      <alignment horizontal="center" readingOrder="0"/>
    </dxf>
  </rfmt>
  <rfmt sheetId="1" sqref="M9 M107 M139 M144 M154 M157 M164 M186 M204 M210 M227 M243 M281 M285 M330:M331 M336 M351 M361 M364 M367:M369 M371" start="0" length="2147483647">
    <dxf>
      <font>
        <sz val="12"/>
      </font>
    </dxf>
  </rfmt>
  <rcc rId="3846" sId="1">
    <nc r="M186" t="inlineStr">
      <is>
        <t>SIM</t>
      </is>
    </nc>
  </rcc>
  <rcv guid="{3BCABC4F-4072-4ED9-90CC-E9BE96773387}" action="delete"/>
  <rdn rId="0" localSheetId="2" customView="1" name="Z_3BCABC4F_4072_4ED9_90CC_E9BE96773387_.wvu.FilterData" hidden="1" oldHidden="1">
    <formula>Particularidade!$A$1:$D$244</formula>
  </rdn>
  <rdn rId="0" localSheetId="1" customView="1" name="Z_3BCABC4F_4072_4ED9_90CC_E9BE96773387_.wvu.Cols" hidden="1" oldHidden="1">
    <formula>'Controle Empresas'!$C:$F</formula>
    <oldFormula>'Controle Empresas'!$C:$F</oldFormula>
  </rdn>
  <rdn rId="0" localSheetId="1" customView="1" name="Z_3BCABC4F_4072_4ED9_90CC_E9BE96773387_.wvu.FilterData" hidden="1" oldHidden="1">
    <formula>'Controle Empresas'!$A$1:$M$419</formula>
    <oldFormula>'Controle Empresas'!$A$1:$M$419</oldFormula>
  </rdn>
  <rcv guid="{3BCABC4F-4072-4ED9-90CC-E9BE96773387}"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50" sId="1">
    <nc r="M364" t="inlineStr">
      <is>
        <t>SIM</t>
      </is>
    </nc>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51" sId="1">
    <nc r="M218" t="inlineStr">
      <is>
        <t xml:space="preserve">sim </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Empresas'!$A$235:$L$420</formula>
    <oldFormula>'Controle Empresas'!$A$235:$L$420</oldFormula>
  </rdn>
  <rdn rId="0" localSheetId="1" customView="1" name="Z_44627F90_111A_4938_A3EC_3F862F83F7D7_.wvu.FilterData" hidden="1" oldHidden="1">
    <formula>'Controle Empresas'!$A$1:$M$419</formula>
    <oldFormula>'Controle Empresas'!$A$1:$M$419</oldFormula>
  </rdn>
  <rcv guid="{44627F90-111A-4938-A3EC-3F862F83F7D7}"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5" sId="1">
    <oc r="L5" t="inlineStr">
      <is>
        <t xml:space="preserve">Folha e Pro labore (   )
INSS (   )
FGTS e GFIP (   )
</t>
      </is>
    </oc>
    <nc r="L5" t="inlineStr">
      <is>
        <r>
          <t xml:space="preserve">Folha e Pro labore (   )  (   )   </t>
        </r>
        <r>
          <rPr>
            <b/>
            <sz val="9"/>
            <rFont val="Arial"/>
            <family val="2"/>
          </rPr>
          <t>NÃO VAI FAZER  RECALCULO DE FGTS</t>
        </r>
        <r>
          <rPr>
            <sz val="9"/>
            <rFont val="Arial"/>
            <family val="2"/>
          </rPr>
          <t xml:space="preserve">
INSS (   )
FGTS e GFIP (   )
</t>
        </r>
      </is>
    </nc>
  </rcc>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6" sId="1">
    <oc r="L37" t="inlineStr">
      <is>
        <t xml:space="preserve">Folha (   )
INSS (   )
FGTS e GFIP (   )
Salário trabalha menos horas;
Não fazemos VT </t>
      </is>
    </oc>
    <nc r="L37" t="inlineStr">
      <is>
        <r>
          <t xml:space="preserve">Folha (   )  (   )       )   </t>
        </r>
        <r>
          <rPr>
            <b/>
            <sz val="9"/>
            <rFont val="Arial"/>
            <family val="2"/>
          </rPr>
          <t>NÃO VAI FAZER  RECALCULO DE FGTS</t>
        </r>
        <r>
          <rPr>
            <sz val="9"/>
            <rFont val="Arial"/>
            <family val="2"/>
          </rPr>
          <t xml:space="preserve">
INSS (   )
FGTS e GFIP (   )
Salário trabalha menos horas;
Não fazemos VT </t>
        </r>
      </is>
    </nc>
  </rcc>
  <rcc rId="3887" sId="1">
    <oc r="L48" t="inlineStr">
      <is>
        <r>
          <t xml:space="preserve">Folha e Pro labore (   ) INSS (     )    IRRF (     )
FGTS e GFIP (   )   PARCELAMENTO FGTS (    )
</t>
        </r>
        <r>
          <rPr>
            <sz val="9"/>
            <color rgb="FFFF0000"/>
            <rFont val="Arial"/>
            <family val="2"/>
          </rPr>
          <t>Tem Plano de Saúde (desconta apenas dependente); socia Cristiane multipos vinculos; e funcionario tem produtividade.</t>
        </r>
      </is>
    </oc>
    <nc r="L48" t="inlineStr">
      <is>
        <r>
          <t xml:space="preserve">Folha e Pro labore (   ) INSS (     )    IRRF (     )
FGTS e GFIP (   )      )   NÃO VAI FAZER  RECALCULO DE FGTS (    )
</t>
        </r>
        <r>
          <rPr>
            <sz val="9"/>
            <color rgb="FFFF0000"/>
            <rFont val="Arial"/>
            <family val="2"/>
          </rPr>
          <t>Tem Plano de Saúde (desconta apenas dependente); socia Cristiane multipos vinculos; e funcionario tem produtividade.</t>
        </r>
      </is>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8" sId="1">
    <oc r="L48" t="inlineStr">
      <is>
        <r>
          <t xml:space="preserve">Folha e Pro labore (   ) INSS (     )    IRRF (     )
FGTS e GFIP (   )      )   NÃO VAI FAZER  RECALCULO DE FGTS (    )
</t>
        </r>
        <r>
          <rPr>
            <sz val="9"/>
            <color rgb="FFFF0000"/>
            <rFont val="Arial"/>
            <family val="2"/>
          </rPr>
          <t>Tem Plano de Saúde (desconta apenas dependente); socia Cristiane multipos vinculos; e funcionario tem produtividade.</t>
        </r>
      </is>
    </oc>
    <nc r="L48" t="inlineStr">
      <is>
        <r>
          <t xml:space="preserve">Folha e Pro labore (   ) INSS (     )    IRRF (     )
FGTS e GFIP (   )      )  </t>
        </r>
        <r>
          <rPr>
            <b/>
            <sz val="9"/>
            <rFont val="Arial"/>
            <family val="2"/>
          </rPr>
          <t xml:space="preserve"> NÃO</t>
        </r>
        <r>
          <rPr>
            <sz val="9"/>
            <rFont val="Arial"/>
            <family val="2"/>
          </rPr>
          <t xml:space="preserve"> VAI FAZER  RECALCULO DE FGTS (    )
</t>
        </r>
        <r>
          <rPr>
            <sz val="9"/>
            <color rgb="FFFF0000"/>
            <rFont val="Arial"/>
            <family val="2"/>
          </rPr>
          <t>Tem Plano de Saúde (desconta apenas dependente); socia Cristiane multipos vinculos; e funcionario tem produtividade.</t>
        </r>
      </is>
    </nc>
  </rcc>
  <rcc rId="3889" sId="1">
    <oc r="L140" t="inlineStr">
      <is>
        <r>
          <t xml:space="preserve">Folha e Pro labore (   )
INSS (   )
FGTS e GFIP (   )
IRRF (  )               </t>
        </r>
        <r>
          <rPr>
            <sz val="9"/>
            <color rgb="FFFF0000"/>
            <rFont val="Arial"/>
            <family val="2"/>
          </rPr>
          <t xml:space="preserve">                      </t>
        </r>
        <r>
          <rPr>
            <sz val="9"/>
            <rFont val="Arial"/>
            <family val="2"/>
          </rPr>
          <t xml:space="preserve">                                                                                           </t>
        </r>
      </is>
    </oc>
    <nc r="L140" t="inlineStr">
      <is>
        <r>
          <t xml:space="preserve">Folha e Pro labore (   )  PARCELAMENTO FGTS (   )
INSS (   )
FGTS e GFIP (   )
IRRF (  )               </t>
        </r>
        <r>
          <rPr>
            <sz val="9"/>
            <color rgb="FFFF0000"/>
            <rFont val="Arial"/>
            <family val="2"/>
          </rPr>
          <t xml:space="preserve">                      </t>
        </r>
        <r>
          <rPr>
            <sz val="9"/>
            <rFont val="Arial"/>
            <family val="2"/>
          </rPr>
          <t xml:space="preserve">                                                                                           </t>
        </r>
      </is>
    </nc>
  </rcc>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0" sId="1">
    <oc r="L140" t="inlineStr">
      <is>
        <r>
          <t xml:space="preserve">Folha e Pro labore (   )  PARCELAMENTO FGTS (   )
INSS (   )
FGTS e GFIP (   )
IRRF (  )               </t>
        </r>
        <r>
          <rPr>
            <sz val="9"/>
            <color rgb="FFFF0000"/>
            <rFont val="Arial"/>
            <family val="2"/>
          </rPr>
          <t xml:space="preserve">                      </t>
        </r>
        <r>
          <rPr>
            <sz val="9"/>
            <rFont val="Arial"/>
            <family val="2"/>
          </rPr>
          <t xml:space="preserve">                                                                                           </t>
        </r>
      </is>
    </oc>
    <nc r="L140" t="inlineStr">
      <is>
        <r>
          <t>Folha e Pro labore (   )</t>
        </r>
        <r>
          <rPr>
            <b/>
            <sz val="9"/>
            <rFont val="Arial"/>
            <family val="2"/>
          </rPr>
          <t xml:space="preserve">  PARCELAMENTO FGTS (   )</t>
        </r>
        <r>
          <rPr>
            <sz val="9"/>
            <rFont val="Arial"/>
            <family val="2"/>
          </rPr>
          <t xml:space="preserve">
INSS (   )
FGTS e GFIP (   )
IRRF (  )               </t>
        </r>
        <r>
          <rPr>
            <sz val="9"/>
            <color rgb="FFFF0000"/>
            <rFont val="Arial"/>
            <family val="2"/>
          </rPr>
          <t xml:space="preserve">                      </t>
        </r>
        <r>
          <rPr>
            <sz val="9"/>
            <rFont val="Arial"/>
            <family val="2"/>
          </rPr>
          <t xml:space="preserve">                                                                                           </t>
        </r>
      </is>
    </nc>
  </rcc>
  <rcc rId="3891" sId="1">
    <oc r="L152" t="inlineStr">
      <is>
        <r>
          <t>Folha e Pro labore (   )
INSS (   )</t>
        </r>
        <r>
          <rPr>
            <sz val="9"/>
            <color rgb="FFFF0000"/>
            <rFont val="Arial"/>
            <family val="2"/>
          </rPr>
          <t xml:space="preserve"> </t>
        </r>
        <r>
          <rPr>
            <sz val="9"/>
            <rFont val="Arial"/>
            <family val="2"/>
          </rPr>
          <t xml:space="preserve">
FGTS e GFIP (   ) 
</t>
        </r>
      </is>
    </oc>
    <nc r="L152" t="inlineStr">
      <is>
        <r>
          <t>Folha e Pro labore (   )
INSS (   )</t>
        </r>
        <r>
          <rPr>
            <sz val="9"/>
            <color rgb="FFFF0000"/>
            <rFont val="Arial"/>
            <family val="2"/>
          </rPr>
          <t xml:space="preserve">    NÃO  PARC ELAMENTO FGTS (  )</t>
        </r>
        <r>
          <rPr>
            <sz val="9"/>
            <rFont val="Arial"/>
            <family val="2"/>
          </rPr>
          <t xml:space="preserve">
FGTS e GFIP (   ) 
</t>
        </r>
      </is>
    </nc>
  </rcc>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2" sId="1">
    <oc r="L200" t="inlineStr">
      <is>
        <t xml:space="preserve">FGTS e GFIP (   )  IR (  ) </t>
      </is>
    </oc>
    <nc r="L200" t="inlineStr">
      <is>
        <r>
          <t xml:space="preserve">FGTS e GFIP (   )  IR (  )  </t>
        </r>
        <r>
          <rPr>
            <b/>
            <sz val="9"/>
            <rFont val="Arial"/>
            <family val="2"/>
          </rPr>
          <t xml:space="preserve"> Parcelamento FGTS (    )</t>
        </r>
      </is>
    </nc>
  </rcc>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3" sId="1">
    <oc r="L218" t="inlineStr">
      <is>
        <t xml:space="preserve">Folha e Pro labore (   )
INSS (   )            Plano de Saude 
FGTS e GFIP (   )                                                                                                                 Adiantamento (   )  </t>
      </is>
    </oc>
    <nc r="L218" t="inlineStr">
      <is>
        <t>Folha e Pro labore (   )
INSS (   )            Plano de Saude 
FGTS e GFIP (   )                                                                                                                 Adiantamento (   )    Parcelamento FGTS (    )</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4" sId="1">
    <oc r="L238" t="inlineStr">
      <is>
        <t xml:space="preserve">Folha (  )
INSS (   )
FGTS e GFIP (   )                                                                                                                                </t>
      </is>
    </oc>
    <nc r="L238" t="inlineStr">
      <is>
        <t xml:space="preserve">Folha (  )
INSS (   )      Parcelamento FGTS (    )
FGTS e GFIP (   )                                                                                                                                </t>
      </is>
    </nc>
  </rcc>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5" sId="1">
    <oc r="L156" t="inlineStr">
      <is>
        <r>
          <t xml:space="preserve">Folha e Pro labore (   )
INSS (   )
FGTS e GFIP (   ) </t>
        </r>
        <r>
          <rPr>
            <b/>
            <sz val="9"/>
            <color rgb="FFFF0000"/>
            <rFont val="Arial"/>
            <family val="2"/>
          </rPr>
          <t>Plano de sáude altera vl em maio</t>
        </r>
        <r>
          <rPr>
            <sz val="9"/>
            <rFont val="Arial"/>
            <family val="2"/>
          </rPr>
          <t xml:space="preserve">
Tem multiplos vínculos;  tem assiduidade 20%.  VT FEITO NA EMPRESA DESCONTA 6% EM FOLHA</t>
        </r>
      </is>
    </oc>
    <nc r="L156" t="inlineStr">
      <is>
        <r>
          <t xml:space="preserve">Folha e Pro labore (   )
INSS (   )                </t>
        </r>
        <r>
          <rPr>
            <b/>
            <sz val="9"/>
            <rFont val="Arial"/>
            <family val="2"/>
          </rPr>
          <t xml:space="preserve">  NÃO PARCELAMENTO FGTS (  )</t>
        </r>
        <r>
          <rPr>
            <sz val="9"/>
            <rFont val="Arial"/>
            <family val="2"/>
          </rPr>
          <t xml:space="preserve">
FGTS e GFIP (   ) </t>
        </r>
        <r>
          <rPr>
            <b/>
            <sz val="9"/>
            <color rgb="FFFF0000"/>
            <rFont val="Arial"/>
            <family val="2"/>
          </rPr>
          <t>Plano de sáude altera vl em maio</t>
        </r>
        <r>
          <rPr>
            <sz val="9"/>
            <rFont val="Arial"/>
            <family val="2"/>
          </rPr>
          <t xml:space="preserve">
Tem multiplos vínculos;  tem assiduidade 20%.  VT FEITO NA EMPRESA DESCONTA 6% EM FOLHA</t>
        </r>
      </is>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6" sId="1">
    <oc r="L263" t="inlineStr">
      <is>
        <t xml:space="preserve">Folha(   )   Adiantamento 20% (  )
INSS (   ) Folha de Ponto (    ) 
GFIP (   )        VT  (    )                  </t>
      </is>
    </oc>
    <nc r="L263" t="inlineStr">
      <is>
        <t xml:space="preserve">Folha(   )   Adiantamento 20% (  )
INSS (   ) Folha de Ponto (    ) 
GFIP (   )        VT  (    )              PARCELAMENTO  FGTS (       )    </t>
      </is>
    </nc>
  </rcc>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7" sId="1">
    <oc r="L274" t="inlineStr">
      <is>
        <t xml:space="preserve">Pro labore (   )  IRF (  )
INSS (   )
GFIP (   )    </t>
      </is>
    </oc>
    <nc r="L274" t="inlineStr">
      <is>
        <r>
          <t xml:space="preserve">Pro labore (   )  IRF (  )
INSS (   )  </t>
        </r>
        <r>
          <rPr>
            <b/>
            <sz val="9"/>
            <rFont val="Arial"/>
            <family val="2"/>
          </rPr>
          <t>NÃO PARCELAMENTO FGTS  (   )</t>
        </r>
        <r>
          <rPr>
            <sz val="9"/>
            <rFont val="Arial"/>
            <family val="2"/>
          </rPr>
          <t xml:space="preserve">
GFIP (   )    </t>
        </r>
      </is>
    </nc>
  </rcc>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8" sId="1">
    <oc r="L337" t="inlineStr">
      <is>
        <r>
          <t xml:space="preserve">FOLHA(  )  (   ) inss  (  ) gfip </t>
        </r>
        <r>
          <rPr>
            <sz val="9"/>
            <color rgb="FFFF0000"/>
            <rFont val="Arial"/>
            <family val="2"/>
          </rPr>
          <t>sempre descontar aluguel do func. Valor de $10,00</t>
        </r>
      </is>
    </oc>
    <nc r="L337" t="inlineStr">
      <is>
        <r>
          <t xml:space="preserve">FOLHA(  )  (   ) inss  (  ) gfip </t>
        </r>
        <r>
          <rPr>
            <sz val="9"/>
            <color rgb="FFFF0000"/>
            <rFont val="Arial"/>
            <family val="2"/>
          </rPr>
          <t xml:space="preserve">sempre descontar aluguel do func. Valor de $10,00  </t>
        </r>
        <r>
          <rPr>
            <b/>
            <sz val="9"/>
            <color rgb="FFFF0000"/>
            <rFont val="Arial"/>
            <family val="2"/>
          </rPr>
          <t xml:space="preserve"> NÃO</t>
        </r>
        <r>
          <rPr>
            <sz val="9"/>
            <color rgb="FFFF0000"/>
            <rFont val="Arial"/>
            <family val="2"/>
          </rPr>
          <t xml:space="preserve"> PARCELAR  FGTS ( ) </t>
        </r>
      </is>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9" sId="1">
    <oc r="L338" t="inlineStr">
      <is>
        <t>Pro labore (   )  
INSS (   )
GFIP (   ) comissão(   )</t>
      </is>
    </oc>
    <nc r="L338" t="inlineStr">
      <is>
        <r>
          <t xml:space="preserve">Pro labore (   )  
INSS (   )   </t>
        </r>
        <r>
          <rPr>
            <b/>
            <sz val="9"/>
            <rFont val="Arial"/>
            <family val="2"/>
          </rPr>
          <t xml:space="preserve"> SIM PARCELAR  FGTS ( )</t>
        </r>
        <r>
          <rPr>
            <sz val="9"/>
            <rFont val="Arial"/>
            <family val="2"/>
          </rPr>
          <t xml:space="preserve">
GFIP (   ) comissão(   )</t>
        </r>
      </is>
    </nc>
  </rcc>
  <rcc rId="3900" sId="1">
    <oc r="L342" t="inlineStr">
      <is>
        <t xml:space="preserve">GFIP (   )  MEI                                     INSS (   )      FGTS (  ) </t>
      </is>
    </oc>
    <nc r="L342" t="inlineStr">
      <is>
        <r>
          <t xml:space="preserve">GFIP (   )  MEI                                     INSS (   )      FGTS (  )  </t>
        </r>
        <r>
          <rPr>
            <b/>
            <sz val="9"/>
            <rFont val="Arial"/>
            <family val="2"/>
          </rPr>
          <t xml:space="preserve"> NÃO </t>
        </r>
        <r>
          <rPr>
            <sz val="9"/>
            <rFont val="Arial"/>
            <family val="2"/>
          </rPr>
          <t>PARCELAR  FGTS ( )</t>
        </r>
      </is>
    </nc>
  </rcc>
  <rcc rId="3901" sId="1">
    <oc r="L345" t="inlineStr">
      <is>
        <r>
          <t xml:space="preserve">Recibo mPgto (   )  
INSS (   )
GFIP (   )     </t>
        </r>
        <r>
          <rPr>
            <b/>
            <sz val="9"/>
            <rFont val="Arial"/>
            <family val="2"/>
          </rPr>
          <t>PAGA SEMPRE NO ULTIMO DIA DO MES</t>
        </r>
      </is>
    </oc>
    <nc r="L345" t="inlineStr">
      <is>
        <r>
          <t xml:space="preserve">Recibo Pgto (   )  
INSS (   )   SIM PARCELAR  FGTS (    )
GFIP (   )     </t>
        </r>
        <r>
          <rPr>
            <b/>
            <sz val="9"/>
            <rFont val="Arial"/>
            <family val="2"/>
          </rPr>
          <t>PAGA SEMPRE NO ULTIMO DIA DO MES</t>
        </r>
      </is>
    </nc>
  </rcc>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1" sId="2">
    <oc r="C250" t="inlineStr">
      <is>
        <t>Lançar gratificação para a a edilene de R$ 300,00 reais.</t>
      </is>
    </oc>
    <nc r="C250" t="inlineStr">
      <is>
        <t>Lançar gratificação para a a edilene de R$ 300,00 reais. (demitida)</t>
      </is>
    </nc>
  </rcc>
  <rcv guid="{44627F90-111A-4938-A3EC-3F862F83F7D7}" action="delete"/>
  <rdn rId="0" localSheetId="1" customView="1" name="Z_44627F90_111A_4938_A3EC_3F862F83F7D7_.wvu.FilterData" hidden="1" oldHidden="1">
    <formula>'Controle Empresas'!$A$1:$M$416</formula>
    <oldFormula>'Controle Empresas'!$A$1:$M$416</oldFormula>
  </rdn>
  <rcv guid="{44627F90-111A-4938-A3EC-3F862F83F7D7}"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3" sId="2">
    <oc r="C350" t="inlineStr">
      <is>
        <t>VALE TRANSPORTE E FEITO NA EMPRESA DESCONTA 6% NA FOLHA.FUNCIONARIA ELIANA TEM ANUENIO DE 20% SOBRE SEU SALARIO CONTRATUAL. TEM PIS SOBRE FOLHA</t>
      </is>
    </oc>
    <nc r="C350" t="inlineStr">
      <is>
        <t>VALE TRANSPORTE E FEITO NA EMPRESA DESCONTA 6% NA FOLHA. TEM PIS SOBRE FOLHA QUE RETEM DAS DUAS EMPRESAS.O IRRF JUNTA DA MATRIZ E DA FILIAL</t>
      </is>
    </nc>
  </rcc>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4" sId="2">
    <oc r="C350" t="inlineStr">
      <is>
        <t>VALE TRANSPORTE E FEITO NA EMPRESA DESCONTA 6% NA FOLHA. TEM PIS SOBRE FOLHA QUE RETEM DAS DUAS EMPRESAS.O IRRF JUNTA DA MATRIZ E DA FILIAL</t>
      </is>
    </oc>
    <nc r="C350" t="inlineStr">
      <is>
        <t>VALE TRANSPORTE E FEITO NA EMPRESA DESCONTA 6% NA FOLHA. TEM PIS SOBRE FOLHA QUE RETEM DAS DUAS EMPRESAS.O IRRF JUNTA DA MATRIZ E DA FILIAL.aPOS O FECHAMENTO PEDIR A MARCELA PARA ENVIAR OS RECIBOS PARA O EMAIL DE CADA UM.</t>
      </is>
    </nc>
  </rcc>
  <rcc rId="595" sId="2">
    <oc r="C351"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 OU SEJA(6HS RELOGIO E 6,86 NOTURNA POR DIA).FOLGUISTA RECEBE NORMAL + O QUE FIZER DE NOTURNO OU EXTRAS.PASSA AS HORAS E AQUI TRANFORMO EM NOTURNO. cada admissão feita deve se incluir o email para ser enviado pro mesmo.</t>
      </is>
    </oc>
    <nc r="C351"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 OU SEJA(6HS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t>
      </is>
    </nc>
  </rcc>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6" sId="1">
    <oc r="L162" t="inlineStr">
      <is>
        <t>Pro labore (   )
INSS (   )
GFIP (   )         (  ) IR           ( ) PLANO DE SAÚDE</t>
      </is>
    </oc>
    <nc r="L162" t="inlineStr">
      <is>
        <t>Pro labore (   )
INSS (   )        Vale Transporte (    ) 
GFIP (   )         (  ) IR           ( ) PLANO DE SAÚDE</t>
      </is>
    </nc>
  </rcc>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7" sId="2">
    <oc r="C244" t="inlineStr">
      <is>
        <r>
          <t>RECARGA ASTRANSP LOGIN - 23843502000180 SENHA 123456 - ( Fabiano trabalha 03 hrs por dia de segunda a sEXTA 11 as 14 hrs tem periculosidade e recebe 20 reais por semana de ajuda de custo</t>
        </r>
        <r>
          <rPr>
            <sz val="10"/>
            <color rgb="FFFF0000"/>
            <rFont val="Calibri"/>
            <family val="2"/>
          </rPr>
          <t>(preso)</t>
        </r>
        <r>
          <rPr>
            <sz val="10"/>
            <rFont val="Calibri"/>
            <family val="2"/>
          </rPr>
          <t xml:space="preserve"> ), Jalille 4hrs de seg a sab Vale transporte para priscila seg a sex 2 vts </t>
        </r>
      </is>
    </oc>
    <nc r="C244" t="inlineStr">
      <is>
        <r>
          <t>RECARGA ASTRANSP LOGIN - 23843502000180 SENHA 123456 - ( Fabiano trabalha 03 hrs por dia de segunda a sEXTA 11 as 14 hrs tem periculosidade e recebe 20 reais por semana de ajuda de custo</t>
        </r>
        <r>
          <rPr>
            <sz val="10"/>
            <color rgb="FFFF0000"/>
            <rFont val="Calibri"/>
            <family val="2"/>
          </rPr>
          <t>(preso)</t>
        </r>
        <r>
          <rPr>
            <sz val="10"/>
            <rFont val="Calibri"/>
            <family val="2"/>
          </rPr>
          <t xml:space="preserve"> ), Jalille 4hrs de seg a sab Vale transporte para priscila seg a sex 2 vts. Plano de Saude, elas não estão passando, estamos repetindo o mesmo.</t>
        </r>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8" sId="2">
    <oc r="C360" t="inlineStr">
      <is>
        <t>Enviar junto com a Clinica nucleo matriz - 63 - recarga feita no site rio card (Ligar para o sind antes de gerar a folha para saber se já teve reajuste salarial) /  2 VT de Seg a Sexta  Valor do vale 4,20  Site Rio Card    Login C24846297 Senha Clinica10   https://www.cartaoriocard.com.br/rcc/paraEmpresa/login</t>
      </is>
    </oc>
    <nc r="C360" t="inlineStr">
      <is>
        <t>Enviar junto com a Clinica nucleo matriz - 63 - recarga feita no site rio card (Ligar para o sind antes de gerar a folha para saber se já teve reajuste salarial) /  2 VT de Seg a Sexta  Valor do vale 4,30  Site Rio Card    Login C24846297 Senha Clinica10   https://www.cartaoriocard.com.br/rcc/paraEmpresa/login</t>
      </is>
    </nc>
  </rcc>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 sId="2">
    <oc r="C10" t="inlineStr">
      <is>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OS FUNCIONÁRIOS  RAI DE PAULA,ROMARIO, SEBASTIAO, CRISTIAN HUMBERTO, CRISTIAN MATHEUS E MARCELO LUCIO QUE TEM ATIVIDADE DO ANEXO IV "SONDADOR OI AUXILIAR DE SONDADOR" TEM RECOLHIMENTO DE 20% PATRONAL E 3% RAT APENAS EM CIMA DA SOMA DELES.SEFIP PASSADA NO 150</t>
      </is>
    </oc>
    <nc r="C10" t="inlineStr">
      <is>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TODOS OS FUNCIONÁRIOS QUE TEM ATIVIDADE DO ANEXO IV "SONDADOR OU AUXILIAR DE SONDADOR" TEM RECOLHIMENTO DE 20% PATRONAL E 4,33% RAT APENAS EM CIMA DA SOMA DELES.SEFIP PASSADA NO 150 (ATENTAR A SEFIP,POIS O VALOR DELA VAI SER SEM OS VALORES  DO RAT E O PATRONAL.)</t>
      </is>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0" sId="1">
    <oc r="L395" t="inlineStr">
      <is>
        <r>
          <t xml:space="preserve">Pro labore (   ) 
INSS (   )
GFIP (   )                </t>
        </r>
        <r>
          <rPr>
            <sz val="9"/>
            <color rgb="FFFF0000"/>
            <rFont val="Arial"/>
            <family val="2"/>
          </rPr>
          <t xml:space="preserve"> </t>
        </r>
      </is>
    </oc>
    <nc r="L395" t="inlineStr">
      <is>
        <r>
          <t xml:space="preserve">Pro labore (   ) 
INSS (   )           Vale Transporte(   )
GFIP (   )                </t>
        </r>
        <r>
          <rPr>
            <sz val="9"/>
            <color rgb="FFFF0000"/>
            <rFont val="Arial"/>
            <family val="2"/>
          </rPr>
          <t xml:space="preserve">            </t>
        </r>
      </is>
    </nc>
  </rcc>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1" sId="2" ref="A356:XFD356" action="insertRow">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9" sId="1"/>
    <undo index="2" exp="area" ref3D="1" dr="B$1:B$1048576" r="C408" sId="1"/>
    <undo index="2" exp="area" ref3D="1" dr="B$1:B$1048576" r="C407" sId="1"/>
    <undo index="2" exp="area" ref3D="1" dr="B$1:B$1048576" r="C405" sId="1"/>
    <undo index="2" exp="area" ref3D="1" dr="B$1:B$1048576" r="C404" sId="1"/>
    <undo index="2" exp="area" ref3D="1" dr="B$1:B$1048576" r="C403" sId="1"/>
    <undo index="2" exp="area" ref3D="1" dr="B$1:B$1048576" r="C402" sId="1"/>
    <undo index="2" exp="area" ref3D="1" dr="B$1:B$1048576" r="C401" sId="1"/>
    <undo index="2" exp="area" ref3D="1" dr="B$1:B$1048576" r="C400"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602" sId="2">
    <nc r="A356">
      <v>896</v>
    </nc>
  </rcc>
  <rcc rId="603" sId="2">
    <nc r="B356" t="inlineStr">
      <is>
        <t>BIOVET 4 PATAS</t>
      </is>
    </nc>
  </rcc>
  <rcc rId="604" sId="2">
    <nc r="C356" t="inlineStr">
      <is>
        <t xml:space="preserve">Ele passa horas faltas no mês que tiver. 
VALE TRANSPORTE LOGIN : 31889167000189 SENHA : BIOVET4141 (segunda a sexta)
Giseli (Bilhete Único) 
Angellyca (Comum) 
</t>
      </is>
    </nc>
  </rcc>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5" sId="1">
    <oc r="L395" t="inlineStr">
      <is>
        <r>
          <t xml:space="preserve">Pro labore (   ) 
INSS (   )           Vale Transporte(   )
GFIP (   )                </t>
        </r>
        <r>
          <rPr>
            <sz val="9"/>
            <color rgb="FFFF0000"/>
            <rFont val="Arial"/>
            <family val="2"/>
          </rPr>
          <t xml:space="preserve">            </t>
        </r>
      </is>
    </oc>
    <nc r="L395" t="inlineStr">
      <is>
        <r>
          <t xml:space="preserve">Pro labore (   ) 
INSS (   )       Vale Transporte(   )
GFIP (   )                </t>
        </r>
        <r>
          <rPr>
            <sz val="9"/>
            <color rgb="FFFF0000"/>
            <rFont val="Arial"/>
            <family val="2"/>
          </rPr>
          <t xml:space="preserve">            </t>
        </r>
      </is>
    </nc>
  </rcc>
  <rcc rId="606" sId="2">
    <oc r="C312" t="inlineStr">
      <is>
        <t>AS FUNCIONARIAS DANIELA VT DE SEG A SEXTA 2 POR DIA LOGIN:31067650000188 SENHA:12345 as funcionárias tem adiantamento,ela passa o valor todo dia 02 , Daniela de licença maternidade.</t>
      </is>
    </oc>
    <nc r="C312" t="inlineStr">
      <is>
        <t xml:space="preserve">AS FUNCIONARIAS DANIELA VT DE SEG A SEXTA 2 POR DIA LOGIN:31067650000188 SENHA:12345 as funcionárias tem adiantamento,ela passa o valor todo dia 02 , Daniela de licença maternidade. 19/03/2020 retorna de férias </t>
      </is>
    </nc>
  </rcc>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7" sId="2">
    <oc r="C244" t="inlineStr">
      <is>
        <r>
          <t>RECARGA ASTRANSP LOGIN - 23843502000180 SENHA 123456 - ( Fabiano trabalha 03 hrs por dia de segunda a sEXTA 11 as 14 hrs tem periculosidade e recebe 20 reais por semana de ajuda de custo</t>
        </r>
        <r>
          <rPr>
            <sz val="10"/>
            <color rgb="FFFF0000"/>
            <rFont val="Calibri"/>
            <family val="2"/>
          </rPr>
          <t>(preso)</t>
        </r>
        <r>
          <rPr>
            <sz val="10"/>
            <rFont val="Calibri"/>
            <family val="2"/>
          </rPr>
          <t xml:space="preserve"> ), Jalille 4hrs de seg a sab Vale transporte para priscila seg a sex 2 vts. Plano de Saude, elas não estão passando, estamos repetindo o mesmo.</t>
        </r>
      </is>
    </oc>
    <nc r="C244" t="inlineStr">
      <is>
        <r>
          <t xml:space="preserve">RECARGA ASTRANSP LOGIN - 23843502000180 SENHA 123456 - </t>
        </r>
        <r>
          <rPr>
            <sz val="10"/>
            <rFont val="Calibri"/>
            <family val="2"/>
          </rPr>
          <t xml:space="preserve"> Vale transporte para priscila seg a sab 2 vts. Plano de Saude, elas não estão passando, estamos repetindo o mesmo.</t>
        </r>
      </is>
    </nc>
  </rcc>
  <rcv guid="{44627F90-111A-4938-A3EC-3F862F83F7D7}" action="delete"/>
  <rdn rId="0" localSheetId="1" customView="1" name="Z_44627F90_111A_4938_A3EC_3F862F83F7D7_.wvu.FilterData" hidden="1" oldHidden="1">
    <formula>'Controle Empresas'!$A$1:$M$416</formula>
    <oldFormula>'Controle Empresas'!$A$1:$M$416</oldFormula>
  </rdn>
  <rcv guid="{44627F90-111A-4938-A3EC-3F862F83F7D7}"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9" sId="2">
    <oc r="C244" t="inlineStr">
      <is>
        <r>
          <t xml:space="preserve">RECARGA ASTRANSP LOGIN - 23843502000180 SENHA 123456 - </t>
        </r>
        <r>
          <rPr>
            <sz val="10"/>
            <rFont val="Calibri"/>
            <family val="2"/>
          </rPr>
          <t xml:space="preserve"> Vale transporte para priscila seg a sab 2 vts. Plano de Saude, elas não estão passando, estamos repetindo o mesmo.</t>
        </r>
      </is>
    </oc>
    <nc r="C244" t="inlineStr">
      <is>
        <r>
          <t xml:space="preserve">RECARGA ASTRANSP LOGIN - 23843502000180 SENHA 123456 - </t>
        </r>
        <r>
          <rPr>
            <sz val="10"/>
            <rFont val="Calibri"/>
            <family val="2"/>
          </rPr>
          <t xml:space="preserve"> Vale transporte para priscila seg a sab 2 vts (cartao comum). Plano de Saude, elas não estão passando, estamos repetindo o mesmo.</t>
        </r>
      </is>
    </nc>
  </rcc>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0" sId="2">
    <oc r="C244" t="inlineStr">
      <is>
        <r>
          <t xml:space="preserve">RECARGA ASTRANSP LOGIN - 23843502000180 SENHA 123456 - </t>
        </r>
        <r>
          <rPr>
            <sz val="10"/>
            <rFont val="Calibri"/>
            <family val="2"/>
          </rPr>
          <t xml:space="preserve"> Vale transporte para priscila seg a sab 2 vts (cartao comum). Plano de Saude, elas não estão passando, estamos repetindo o mesmo.</t>
        </r>
      </is>
    </oc>
    <nc r="C244" t="inlineStr">
      <is>
        <r>
          <t xml:space="preserve">RECARGA ASTRANSP LOGIN - 23843502000180 SENHA 123456 - </t>
        </r>
        <r>
          <rPr>
            <sz val="10"/>
            <rFont val="Calibri"/>
            <family val="2"/>
          </rPr>
          <t xml:space="preserve"> Vale transporte para priscila seg a sex 2 vts (cartao comum). Plano de Saude, elas não estão passando, estamos repetindo o mesmo.</t>
        </r>
      </is>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1" sId="2">
    <oc r="C244" t="inlineStr">
      <is>
        <r>
          <t xml:space="preserve">RECARGA ASTRANSP LOGIN - 23843502000180 SENHA 123456 - </t>
        </r>
        <r>
          <rPr>
            <sz val="10"/>
            <rFont val="Calibri"/>
            <family val="2"/>
          </rPr>
          <t xml:space="preserve"> Vale transporte para priscila seg a sex 2 vts (cartao comum). Plano de Saude, elas não estão passando, estamos repetindo o mesmo.</t>
        </r>
      </is>
    </oc>
    <nc r="C244" t="inlineStr">
      <is>
        <r>
          <t xml:space="preserve">RECARGA ASTRANSP LOGIN - 23843502000180 SENHA 123456 - </t>
        </r>
        <r>
          <rPr>
            <sz val="10"/>
            <rFont val="Calibri"/>
            <family val="2"/>
          </rPr>
          <t xml:space="preserve"> Vale transporte para priscila seg a sab 2 vts (cartao comum). Plano de Saude, elas não estão passando, estamos repetindo o mesmo.</t>
        </r>
      </is>
    </nc>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2" sId="1">
    <oc r="J346">
      <v>30</v>
    </oc>
    <nc r="J346">
      <v>28</v>
    </nc>
  </rcc>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3" sId="2">
    <oc r="C237" t="inlineStr">
      <is>
        <r>
          <t xml:space="preserve">Funcionários trabalham 12x36. 
Adicional Noturno de </t>
        </r>
        <r>
          <rPr>
            <b/>
            <sz val="10"/>
            <rFont val="Calibri"/>
            <family val="2"/>
          </rPr>
          <t>50%</t>
        </r>
        <r>
          <rPr>
            <sz val="10"/>
            <rFont val="Calibri"/>
            <family val="2"/>
          </rPr>
          <t xml:space="preserve">  9 horas por noite ( Calcular dia sim e dia não- incluindo sábado e domingo). Pagar de 22h Às 7h - Mensalmente passa quem trabalha - </t>
        </r>
      </is>
    </oc>
    <nc r="C237" t="inlineStr">
      <is>
        <r>
          <t xml:space="preserve">Funcionários trabalham 12x36. 
Adicional Noturno de </t>
        </r>
        <r>
          <rPr>
            <b/>
            <sz val="10"/>
            <rFont val="Calibri"/>
            <family val="2"/>
          </rPr>
          <t>50%</t>
        </r>
        <r>
          <rPr>
            <sz val="10"/>
            <rFont val="Calibri"/>
            <family val="2"/>
          </rPr>
          <t xml:space="preserve">  9 horas por noite ( Calcular dia sim e dia não- incluindo sábado e domingo). Pagar de 22h Às 7h - Mensalmente passa quem trabalha - Insalubridade paga apenas para cuidador de idosos</t>
        </r>
      </is>
    </nc>
  </rcc>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4" sId="2">
    <oc r="C58" t="inlineStr">
      <is>
        <t>•  PLANO DE SAÚDE DA FUNCIONÁRIA (DEPENDENTE) PARA SER DESCONTADO NA FOLHA DE PAGAMENTO (somente valor do dependente e co participação). Acessar: http://www.unimedjf.coop.br/clientejuridico/acesso  - Login:  89971            Senha 12345
 •  -  LANÇAR PRODUTIVIDADE PARA A FUNCIONÁRIA LIDIANE A PARTIR DE 05/2015 - R$. 300,00
Verificar pro labore Pois tem mes que tem valor mas alto e outros baixos. mes de julho pro labore 4,500 por tres meses,depois 3,500 e permanece nesse valor</t>
      </is>
    </oc>
    <nc r="C58" t="inlineStr">
      <is>
        <r>
          <t xml:space="preserve">•  PLANO DE SAÚDE DA FUNCIONÁRIA (DEPENDENTE) PARA SER DESCONTADO NA FOLHA DE PAGAMENTO (somente valor do dependente e co participação). Acessar: http://www.unimedjf.coop.br/clientejuridico/acesso  - Login:  89971            Senha 12345
 •  -  LANÇAR PRODUTIVIDADE PARA A FUNCIONÁRIA LIDIANE A PARTIR DE 05/2015 - R$. 300,00
Verificar pro labore Pois tem mes que tem valor mas alto e outros baixos. mes de julho pro labore 4,500 por tres meses,depois 3,500 e permanece nesse valor  </t>
        </r>
        <r>
          <rPr>
            <sz val="10"/>
            <color rgb="FFFF0000"/>
            <rFont val="Calibri"/>
            <family val="2"/>
          </rPr>
          <t xml:space="preserve"> LEMBRAR LILIANE TIRAR FERIAS INICIO DE JANEIRO</t>
        </r>
        <r>
          <rPr>
            <sz val="10"/>
            <rFont val="Calibri"/>
            <family val="2"/>
          </rPr>
          <t xml:space="preserve"> </t>
        </r>
      </is>
    </nc>
  </rcc>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5" sId="2">
    <oc r="C292" t="inlineStr">
      <is>
        <t>Recarga astrasnp para Alex,Nangelle e Sthefani  2vt seg a sabado  Login 27970910000153 senha 12345</t>
      </is>
    </oc>
    <nc r="C292" t="inlineStr">
      <is>
        <t>Recarga astrasnp para Alex,Nangelle, Sthefani e Thais 2vt seg a sabado  Login 27970910000153 senha 12345</t>
      </is>
    </nc>
  </rcc>
  <rcc rId="616" sId="2">
    <oc r="C353" t="inlineStr">
      <is>
        <t>Somente a funcionária Gabriela tem Insalubridade 20%, geramos boleto de vt e descontamos 6% em folha. Senha Astransp:liberado login:01860897000196    de seg a sabado.</t>
      </is>
    </oc>
    <nc r="C353" t="inlineStr">
      <is>
        <t>Somente a funcionária Rayane tem Insalubridade 20%, geramos boleto de vt e descontamos 6% em folha. Senha Astransp:liberado login:01860897000196    de seg a sabado.</t>
      </is>
    </nc>
  </rcc>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 sId="1">
    <oc r="L224" t="inlineStr">
      <is>
        <r>
          <t xml:space="preserve">Pro labore (   ) 
INSS (   )
GFIP (   )  (  ) IRFF                                     </t>
        </r>
        <r>
          <rPr>
            <sz val="9"/>
            <color rgb="FFFF0000"/>
            <rFont val="Arial"/>
            <family val="2"/>
          </rPr>
          <t xml:space="preserve">Desc de vale aliment. 20% do valor da recarga do func. </t>
        </r>
      </is>
    </oc>
    <nc r="L224" t="inlineStr">
      <is>
        <r>
          <t xml:space="preserve">Pro labore (   ) 
INSS (   )
GFIP (   )  (  ) IRFF                                     </t>
        </r>
        <r>
          <rPr>
            <sz val="9"/>
            <color rgb="FFFF0000"/>
            <rFont val="Arial"/>
            <family val="2"/>
          </rPr>
          <t xml:space="preserve">Desc de vale aliment. 5% do valor da recarga do func. </t>
        </r>
      </is>
    </nc>
  </rcc>
  <rcv guid="{DAEEB123-9C5D-4BF0-8F09-E7DEBC62D826}" action="delete"/>
  <rdn rId="0" localSheetId="1" customView="1" name="Z_DAEEB123_9C5D_4BF0_8F09_E7DEBC62D826_.wvu.Cols" hidden="1" oldHidden="1">
    <formula>'Controle Empresas'!$D:$F</formula>
    <oldFormula>'Controle Empresas'!$D:$F</oldFormula>
  </rdn>
  <rdn rId="0" localSheetId="1" customView="1" name="Z_DAEEB123_9C5D_4BF0_8F09_E7DEBC62D826_.wvu.FilterData" hidden="1" oldHidden="1">
    <formula>'Controle Empresas'!$A$1:$M$416</formula>
    <oldFormula>'Controle Empresas'!$A$1:$M$416</oldFormula>
  </rdn>
  <rcv guid="{DAEEB123-9C5D-4BF0-8F09-E7DEBC62D826}"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20" sId="1">
    <oc r="H342" t="inlineStr">
      <is>
        <t>S</t>
      </is>
    </oc>
    <nc r="H342" t="inlineStr">
      <is>
        <t>SIMEI</t>
      </is>
    </nc>
  </rcc>
  <rcc rId="621" sId="1">
    <oc r="L342" t="inlineStr">
      <is>
        <t>INSS (   )</t>
      </is>
    </oc>
    <nc r="L342" t="inlineStr">
      <is>
        <t>INSS (   ) SM</t>
      </is>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22" sId="2" ref="A358:XFD358" action="insertRow">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9" sId="1"/>
    <undo index="2" exp="area" ref3D="1" dr="B$1:B$1048576" r="C408" sId="1"/>
    <undo index="2" exp="area" ref3D="1" dr="B$1:B$1048576" r="C407" sId="1"/>
    <undo index="2" exp="area" ref3D="1" dr="B$1:B$1048576" r="C405" sId="1"/>
    <undo index="2" exp="area" ref3D="1" dr="B$1:B$1048576" r="C404" sId="1"/>
    <undo index="2" exp="area" ref3D="1" dr="B$1:B$1048576" r="C403" sId="1"/>
    <undo index="2" exp="area" ref3D="1" dr="B$1:B$1048576" r="C402" sId="1"/>
    <undo index="2" exp="area" ref3D="1" dr="B$1:B$1048576" r="C401" sId="1"/>
    <undo index="2" exp="area" ref3D="1" dr="B$1:B$1048576" r="C400"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623" sId="2">
    <nc r="A358">
      <v>902</v>
    </nc>
  </rcc>
  <rcc rId="624" sId="2">
    <nc r="B358" t="inlineStr">
      <is>
        <t>O2</t>
      </is>
    </nc>
  </rcc>
  <rrc rId="625" sId="2" ref="A358:XFD358" action="deleteRow">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9" sId="1"/>
    <undo index="2" exp="area" ref3D="1" dr="B$1:B$1048576" r="C408" sId="1"/>
    <undo index="2" exp="area" ref3D="1" dr="B$1:B$1048576" r="C407" sId="1"/>
    <undo index="2" exp="area" ref3D="1" dr="B$1:B$1048576" r="C405" sId="1"/>
    <undo index="2" exp="area" ref3D="1" dr="B$1:B$1048576" r="C404" sId="1"/>
    <undo index="2" exp="area" ref3D="1" dr="B$1:B$1048576" r="C403" sId="1"/>
    <undo index="2" exp="area" ref3D="1" dr="B$1:B$1048576" r="C402" sId="1"/>
    <undo index="2" exp="area" ref3D="1" dr="B$1:B$1048576" r="C401" sId="1"/>
    <undo index="2" exp="area" ref3D="1" dr="B$1:B$1048576" r="C400"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358:XFD358" start="0" length="0"/>
    <rcc rId="0" sId="2" dxf="1">
      <nc r="A358">
        <v>902</v>
      </nc>
      <ndxf>
        <font>
          <sz val="10"/>
          <color auto="1"/>
          <name val="Calibri"/>
          <scheme val="minor"/>
        </font>
        <fill>
          <patternFill patternType="solid">
            <bgColor theme="0"/>
          </patternFill>
        </fill>
        <alignment horizontal="center" vertical="top" wrapText="1" readingOrder="0"/>
        <border outline="0">
          <left style="thin">
            <color indexed="64"/>
          </left>
          <right style="thin">
            <color indexed="64"/>
          </right>
          <top style="thin">
            <color indexed="64"/>
          </top>
          <bottom style="thin">
            <color indexed="64"/>
          </bottom>
        </border>
      </ndxf>
    </rcc>
    <rcc rId="0" sId="2" dxf="1">
      <nc r="B358" t="inlineStr">
        <is>
          <t>O2</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fmt sheetId="2" sqref="C358"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rc>
  <rcc rId="626" sId="2">
    <oc r="A357">
      <v>899</v>
    </oc>
    <nc r="A357">
      <v>902</v>
    </nc>
  </rcc>
  <rcc rId="627" sId="2">
    <nc r="B357" t="inlineStr">
      <is>
        <t>O2</t>
      </is>
    </nc>
  </rcc>
  <rcv guid="{DFB7C661-5C1D-4491-B5BB-D24125818F62}" action="delete"/>
  <rdn rId="0" localSheetId="1" customView="1" name="Z_DFB7C661_5C1D_4491_B5BB_D24125818F62_.wvu.FilterData" hidden="1" oldHidden="1">
    <formula>'Controle Empresas'!$A$1:$M$416</formula>
    <oldFormula>'Controle Empresas'!$A$1:$M$416</oldFormula>
  </rdn>
  <rcv guid="{DFB7C661-5C1D-4491-B5BB-D24125818F62}"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29" sId="2">
    <oc r="C142" t="inlineStr">
      <is>
        <t>• MENSALMENTE PASSA POR EMAIL O VALOR DO PREMIO 
• FAZER RECIBO DA ASTRANSP - CNPJ 17570395000160 - SENHA 12345 (Não tem funcionário com vale transporte) *PLANO DE SAUDE DOS SOCIOS lançar co-participação para a funcionária ( MARIA) a empresa paga a mensalidade dela. Lançar plano para sócios e dependentes separados.passa os valor da comissão juntamente com o dsr fazer a separação na planilha em P:\documentos\OneDrive - Novus Contabilidade\Doc Compartilhado\Pessoal\Relatórios Sefip\Prime Tech\2019 jogando o valor até o total dar proximo do lançamento da empresa.</t>
      </is>
    </oc>
    <nc r="C142" t="inlineStr">
      <is>
        <r>
          <t xml:space="preserve">• MENSALMENTE PASSA POR EMAIL O VALOR DO PREMIO 
• FAZER RECIBO DA ASTRANSP - CNPJ 17570395000160 - SENHA 12345 </t>
        </r>
        <r>
          <rPr>
            <sz val="10"/>
            <color rgb="FFFF0000"/>
            <rFont val="Calibri"/>
            <family val="2"/>
          </rPr>
          <t>(Não tem funcionário com vale transporte)</t>
        </r>
        <r>
          <rPr>
            <sz val="10"/>
            <rFont val="Calibri"/>
            <family val="2"/>
          </rPr>
          <t xml:space="preserve"> *PLANO DE SAUDE DOS SOCIOS lançar co-participação para a funcionária ( MARIA) a empresa paga a mensalidade dela. Lançar plano para sócios e dependentes separados.passa os valor da comissão juntamente com o dsr fazer a separação na planilha em P:\documentos\OneDrive - Novus Contabilidade\Doc Compartilhado\Pessoal\Relatórios Sefip\Prime Tech\2019 jogando o valor até o total dar proximo do lançamento da empresa. Ele passa por email comissão quando tem e valores de plano de saude.</t>
        </r>
      </is>
    </nc>
  </rcc>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0" sId="2">
    <oc r="C357" t="inlineStr">
      <is>
        <t>É PRESUMIDO TEM DESC. DE VT EM FOLHA E GERAMOS BOLETO, A FRANC. PASSA QUANTIDADE DE VALE TRANSPORTE. Login: 17525444000143 senha:12345 geramos boleto para as funcionárias( Josiane e Thaiza)</t>
      </is>
    </oc>
    <nc r="C357" t="inlineStr">
      <is>
        <r>
          <t>É PRESUMIDO TEM DESC. DE VT EM FOLHA E GERAMOS BOLETO, A FRANC. PASSA QUANTIDADE DE VALE TRANSPORTE. Login: 17525444000143 senha:12345 geramos boleto para as funcionárias( Josiane e Thaiza)</t>
        </r>
        <r>
          <rPr>
            <sz val="10"/>
            <color rgb="FFFF0000"/>
            <rFont val="Calibri"/>
            <family val="2"/>
          </rPr>
          <t>A FUNC. JOSIANE TEM PLANO DE QUE ESTA DIV DE 3 VEZES JÁ ESTA LANÇADO NO SISTEMA VAI ATÉ O MÊS 4/2020.</t>
        </r>
      </is>
    </nc>
  </rcc>
  <rcv guid="{DFB7C661-5C1D-4491-B5BB-D24125818F62}" action="delete"/>
  <rdn rId="0" localSheetId="1" customView="1" name="Z_DFB7C661_5C1D_4491_B5BB_D24125818F62_.wvu.Cols" hidden="1" oldHidden="1">
    <formula>'Controle Empresas'!$E:$E</formula>
  </rdn>
  <rdn rId="0" localSheetId="1" customView="1" name="Z_DFB7C661_5C1D_4491_B5BB_D24125818F62_.wvu.FilterData" hidden="1" oldHidden="1">
    <formula>'Controle Empresas'!$A$1:$M$416</formula>
    <oldFormula>'Controle Empresas'!$A$1:$M$416</oldFormula>
  </rdn>
  <rcv guid="{DFB7C661-5C1D-4491-B5BB-D24125818F62}"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3" sId="1">
    <oc r="B399" t="inlineStr">
      <is>
        <t>CONCLAVE EDITORA</t>
      </is>
    </oc>
    <nc r="B399" t="inlineStr">
      <is>
        <t>CONCLAVE EDITORA - COMERCIO    Data base: OUTUBRO</t>
      </is>
    </nc>
  </rcc>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4" sId="1">
    <oc r="L84" t="inlineStr">
      <is>
        <t xml:space="preserve">Pro labore (   )                                     
INSS (   )
GFIP (   )         VT (   )                                               </t>
      </is>
    </oc>
    <nc r="L84" t="inlineStr">
      <is>
        <t xml:space="preserve">Pro labore (   )                                     
INSS (   )   Tem hora HE 1 hr de seg a sex
GFIP (   )         VT (   )                                               </t>
      </is>
    </nc>
  </rcc>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5" sId="2">
    <oc r="C286" t="inlineStr">
      <is>
        <t xml:space="preserve">Passar valor de prolabore, observar vale transporte estagiario </t>
      </is>
    </oc>
    <nc r="C286" t="inlineStr">
      <is>
        <t xml:space="preserve">• Passa valor de PROLABORE todo mês.
Estagiário é valores fixo bolsa 260 e vt 150, fechando em 410,00 todo mês. 
</t>
      </is>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6" sId="2">
    <oc r="C253" t="inlineStr">
      <is>
        <t>PLANO DE SAUDE DE FUNCIONÁRIOS DESCONTA APENAS CO PARTICIPAÇÃO. PLANO ODONTOLKOGICO DESCONTA O TOTAL..Não menciona nada sobre 1/3 das férias  Gilda tem Rpa  de 150,00 fazer Issqn ELBIA SEMPRE MANDA,CONFIRMAR pois não é todo mês.Adenilson não recebe adiantamento.</t>
      </is>
    </oc>
    <nc r="C253" t="inlineStr">
      <is>
        <t>PLANO DE SAUDE DE FUNCIONÁRIOS DESCONTA APENAS CO PARTICIPAÇÃO. PLANO ODONTOLKOGICO DESCONTA O TOTAL.. Gilda tem Rpa  de 150,00 fazer Issqn ELBIA SEMPRE MANDA,CONFIRMAR pois não é todo mês.Adenilson não recebe adiantamento.</t>
      </is>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7" sId="2">
    <oc r="C253" t="inlineStr">
      <is>
        <t>PLANO DE SAUDE DE FUNCIONÁRIOS DESCONTA APENAS CO PARTICIPAÇÃO. PLANO ODONTOLKOGICO DESCONTA O TOTAL..Não menciona nada sobre 1/3 das férias  Gilda tem Rpa  de 150,00 fazer Issqn ELBIA SEMPRE MANDA,CONFIRMAR pois não é todo mês.Adenilson não recebe adiantamento.</t>
      </is>
    </oc>
    <nc r="C253" t="inlineStr">
      <is>
        <t xml:space="preserve">PLANO DE SAUDE DE FUNCIONÁRIOS DESCONTA APENAS CO PARTICIPAÇÃO (ela passa).
PLANO ODONTOLOGICO DESCONTA O TOTAL. (valor fixo)
Gilda tem Rpa  de 150,00 bruto, fazer Issqn (quando solicitar)
ELBIA SEMPRE MANDA FECHAMENTO, CONFIRMAR pois não é todo mês que tem RPA, observa quando manda a folha se o RPA junto a folha mensal, pois tem que fazer separado.
</t>
      </is>
    </nc>
  </rcc>
  <rcft rId="636" sheetId="2"/>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8" sId="2">
    <oc r="C253" t="inlineStr">
      <is>
        <t xml:space="preserve">PLANO DE SAUDE DE FUNCIONÁRIOS DESCONTA APENAS CO PARTICIPAÇÃO (ela passa).
PLANO ODONTOLOGICO DESCONTA O TOTAL. (valor fixo)
Gilda tem Rpa  de 150,00 bruto, fazer Issqn (quando solicitar)
ELBIA SEMPRE MANDA FECHAMENTO, CONFIRMAR pois não é todo mês que tem RPA, observa quando manda a folha se o RPA junto a folha mensal, pois tem que fazer separado.
</t>
      </is>
    </oc>
    <nc r="C253" t="inlineStr">
      <is>
        <t xml:space="preserve">PLANO DE SAUDE DE FUNCIONÁRIOS DESCONTA APENAS CO PARTICIPAÇÃO (ela passa).
PLANO ODONTOLOGICO DESCONTA O TOTAL. (valor fixo)
Gilda tem Rpa  de 150,00 bruto, fazer Issqn (quando solicitar)
ELBIA SEMPRE MANDA FECHAMENTO, CONFIRMAR pois não é todo mês que tem RPA, observa quando manda a folha se o RPA veio junto a folha mensal, pois tem que fazer separado.
</t>
      </is>
    </nc>
  </rcc>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9" sId="2">
    <oc r="C205" t="inlineStr">
      <is>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ALIMENTAÇÃO
VALOR DO TICKET POR DIA 13,00 EM JF E QUANDO TEM FUNCIONÁRIO EM BH 21,00 O DIA
</t>
      </is>
    </oc>
    <nc r="C205" t="inlineStr">
      <is>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ALIMENTAÇÃO
VALOR DO TICKET POR DIA 13,50 EM JF E QUANDO TEM FUNCIONÁRIO EM BH 21,00 O DIA
</t>
      </is>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0" sId="1">
    <oc r="L180" t="inlineStr">
      <is>
        <t>Adiantamento 40% (   )
Folha e Pro labore (   )
INSS (   )
FGTS e GFIP (   )   
 ISSQN GILDA (   )
Plano Odontologico Elbia e funcionários                                                   Descontar 20% pensão alimentícia - Carlos particularidades</t>
      </is>
    </oc>
    <nc r="L180" t="inlineStr">
      <is>
        <t xml:space="preserve">Adiantamento 40% (   )
Folha e Pro labore (   )
INSS (   )               Passa movimento mensal 
FGTS e GFIP (   )   
 ISSQN GILDA (   )
</t>
      </is>
    </nc>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1" sId="2">
    <oc r="C205" t="inlineStr">
      <is>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ALIMENTAÇÃO
VALOR DO TICKET POR DIA 13,50 EM JF E QUANDO TEM FUNCIONÁRIO EM BH 21,00 O DIA
</t>
      </is>
    </oc>
    <nc r="C205" t="inlineStr">
      <is>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ALIMENTAÇÃO
VALOR DO TICKET POR DIA 13,20 EM JF E QUANDO TEM FUNCIONÁRIO EM BH 21,00 O DIA
</t>
      </is>
    </nc>
  </rcc>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2" sId="2">
    <oc r="C28" t="inlineStr">
      <is>
        <r>
          <t xml:space="preserve">• LANÇAR SEGURO DE VIDA NO CADASTRO DO FUNCIONARIO COD 634 - R$. 0,28 - </t>
        </r>
        <r>
          <rPr>
            <b/>
            <sz val="10"/>
            <color indexed="10"/>
            <rFont val="Calibri"/>
            <family val="2"/>
          </rPr>
          <t xml:space="preserve">JÁ ESTÁ LANÇADO NO CADASTRO DO FUNCIONÁRIO </t>
        </r>
        <r>
          <rPr>
            <sz val="10"/>
            <color indexed="8"/>
            <rFont val="Calibri"/>
            <family val="2"/>
          </rPr>
          <t>(PERGUNTAR QUANDO VAI COMEÇAR LANÇAR O DESCONTO DO SEGURO FUNCIONÁRIO NOVO) GERAR BOLETO DE VT PARA A FUNC. JANETE 2 VT DE SEG A SEXTA . LOGIN: 10509787000175 SENHA:12345</t>
        </r>
        <r>
          <rPr>
            <sz val="10"/>
            <rFont val="Calibri"/>
            <family val="2"/>
          </rPr>
          <t xml:space="preserve">
• FAZER RECIBO DE ALIMENTAÇÃO VALOR R$. 13,00 POR DIA 2º A 6º - RECIBO POR FORA ( fazer sempre do mês estamos).
• FRANCISCO  - PENSÃO ALIMENTICIA - 40% DO VALOR LÍQUIDO DA FOLHA (NÃO ABATER VT, NEM ADIANTAMENTO) - INCLUSIVE SOBRE 13º SALÁRIO
• O SALARIO DEVE SER PAGO ATÉ DIA 5 DO MÊS SUBSEQUENTE 
• FAZER ADIANTAMENTO DE SALARIO ATÉ O DIA 20 DE CADA MÊS - 40% DO SALÁRIO NOMINAL (SÓ A NÉIA QUE NÃO FAZ ADIANTAMENTO SALÁRIO) - MANDAR POR site
Gerar os recibos de ferias sempre no primeiro semestre. Ligar para perguntar quais meses e qual funcionário fara os recibos. ATENTAR NAS FERIAS,NÃO EMITIR O ADIANTAMENTO NAQUELE MES,PARA NÃO FICAR NEGATIVO.</t>
        </r>
      </is>
    </oc>
    <nc r="C28" t="inlineStr">
      <is>
        <r>
          <t xml:space="preserve">• LANÇAR SEGURO DE VIDA NO CADASTRO DO FUNCIONARIO COD 634 - R$. 0,28 - </t>
        </r>
        <r>
          <rPr>
            <b/>
            <sz val="10"/>
            <color indexed="10"/>
            <rFont val="Calibri"/>
            <family val="2"/>
          </rPr>
          <t xml:space="preserve">JÁ ESTÁ LANÇADO NO CADASTRO DO FUNCIONÁRIO </t>
        </r>
        <r>
          <rPr>
            <sz val="10"/>
            <color indexed="8"/>
            <rFont val="Calibri"/>
            <family val="2"/>
          </rPr>
          <t>(PERGUNTAR QUANDO VAI COMEÇAR LANÇAR O DESCONTO DO SEGURO FUNCIONÁRIO NOVO) GERAR BOLETO DE VT PARA A FUNC. JANETE 2 VT DE SEG A SEXTA . LOGIN: 10509787000175 SENHA:12345</t>
        </r>
        <r>
          <rPr>
            <sz val="10"/>
            <rFont val="Calibri"/>
            <family val="2"/>
          </rPr>
          <t xml:space="preserve">
• FAZER RECIBO DE ALIMENTAÇÃO VALOR R$. 13,20 POR DIA 2º A 6º - RECIBO POR FORA ( fazer sempre do mês estamos).
• FRANCISCO  - PENSÃO ALIMENTICIA - 40% DO VALOR LÍQUIDO DA FOLHA (NÃO ABATER VT, NEM ADIANTAMENTO) - INCLUSIVE SOBRE 13º SALÁRIO
• O SALARIO DEVE SER PAGO ATÉ DIA 5 DO MÊS SUBSEQUENTE 
• FAZER ADIANTAMENTO DE SALARIO ATÉ O DIA 20 DE CADA MÊS - 40% DO SALÁRIO NOMINAL (SÓ A NÉIA QUE NÃO FAZ ADIANTAMENTO SALÁRIO) - MANDAR POR site
Gerar os recibos de ferias sempre no primeiro semestre. Ligar para perguntar quais meses e qual funcionário fara os recibos. ATENTAR NAS FERIAS,NÃO EMITIR O ADIANTAMENTO NAQUELE MES,PARA NÃO FICAR NEGATIVO.</t>
        </r>
      </is>
    </nc>
  </rcc>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3" sId="1">
    <oc r="L231" t="inlineStr">
      <is>
        <t xml:space="preserve"> Pro labore (    ) INSS (   )   FGTS(    )  IRF(  ) </t>
      </is>
    </oc>
    <nc r="L231" t="inlineStr">
      <is>
        <t xml:space="preserve"> Pro labore (    ) INSS (   )   FGTS(    )  IRF(  )  Passa HE</t>
      </is>
    </nc>
  </rcc>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 sId="1">
    <oc r="L231" t="inlineStr">
      <is>
        <t xml:space="preserve"> Pro labore (    ) INSS (   )   FGTS(    )  IRF(  )  Passa HE</t>
      </is>
    </oc>
    <nc r="L231" t="inlineStr">
      <is>
        <t xml:space="preserve"> Pro labore (    ) INSS (   )   FGTS(    )  IRF(  )  Passa HE - cobrar </t>
      </is>
    </nc>
  </rcc>
  <rrc rId="645" sId="2" ref="A316:XFD316" action="insertRow">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9" sId="1"/>
    <undo index="2" exp="area" ref3D="1" dr="B$1:B$1048576" r="C408" sId="1"/>
    <undo index="2" exp="area" ref3D="1" dr="B$1:B$1048576" r="C407" sId="1"/>
    <undo index="2" exp="area" ref3D="1" dr="B$1:B$1048576" r="C405" sId="1"/>
    <undo index="2" exp="area" ref3D="1" dr="B$1:B$1048576" r="C404" sId="1"/>
    <undo index="2" exp="area" ref3D="1" dr="B$1:B$1048576" r="C403" sId="1"/>
    <undo index="2" exp="area" ref3D="1" dr="B$1:B$1048576" r="C402" sId="1"/>
    <undo index="2" exp="area" ref3D="1" dr="B$1:B$1048576" r="C401" sId="1"/>
    <undo index="2" exp="area" ref3D="1" dr="B$1:B$1048576" r="C400"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646" sId="2">
    <nc r="A316">
      <v>749</v>
    </nc>
  </rcc>
  <rcc rId="647" sId="2">
    <nc r="B316" t="inlineStr">
      <is>
        <t xml:space="preserve">Santa Maria Material de Construção </t>
      </is>
    </nc>
  </rcc>
  <rcc rId="648" sId="2">
    <nc r="C316" t="inlineStr">
      <is>
        <t xml:space="preserve">Tem funcionario em convenção do comercio e convenção do transporte. Transporte tem premiação. </t>
      </is>
    </nc>
  </rcc>
  <rfmt sheetId="2" sqref="C274" start="0" length="0">
    <dxf/>
  </rfmt>
  <rcc rId="649" sId="2" quotePrefix="1">
    <oc r="C274" t="inlineStr">
      <is>
        <t xml:space="preserve">O funcionario tem vale transporte por fora (desconta 6% na hora de gerar o boleto pois é feito o pagamento por fora) e vale alimentação bahamas card R$ 18,47 (desconta 20%) - Astransp Login:25510747000110  senha:12345 Baramas Card login: 25510747000110  senha: @Corretora541 geramos boleto, recibo vale alimentação colocar sempre a data do primeiro dia do mês   https://b2bclient.itspay.com.br/    vinicius observar vale transporte estagiario </t>
      </is>
    </oc>
    <nc r="C274" t="inlineStr">
      <is>
        <t xml:space="preserve">- Vale transporte por fora -&gt; modelo de recibo na pasta da NOVUS CORRETORA (desconta 6% na hora de gerar o recibo pois é feito o pagamento por fora);
- Vale alimentação bahamas card R$ 18,47 (desconta 20% na folha de pagamento) - https://b2bclient.itspay.com.br/   login: 25510747000110  senha: @Corretora541 -&gt; recibo vale alimentação colocar sempre a data do primeiro dia do mês   
- Astransp Login:25510747000110  senha:12345 (não utilizado no momento)
- Vinicius observar vale transporte estagiário na hora de realizar recibo de pagamento, para colocar conforme dias do mês.
</t>
      </is>
    </nc>
  </rcc>
  <rcc rId="650" sId="2">
    <oc r="C317" t="inlineStr">
      <is>
        <t>GERAMOS BOLETO DE VT DE  2 SEG A SABADO E DESCONTA EM FOLHA 6% - USUÁRIO 21502184000168 SENHA 12345 (cartao comum)</t>
      </is>
    </oc>
    <nc r="C317" t="inlineStr">
      <is>
        <t xml:space="preserve">GERAMOS BOLETO DE VT DE  2 SEG A SABADO E DESCONTA EM FOLHA 6% - USUÁRIO 21502184000168 SENHA 12345 (cartao comum)
Empresa 3% para conferencia
</t>
      </is>
    </nc>
  </rcc>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1" sId="2">
    <oc r="C327" t="inlineStr">
      <is>
        <r>
          <t>2 VT por dia de seg a sex - LOGIN: 29237469000120 SENHA 12345(</t>
        </r>
        <r>
          <rPr>
            <sz val="10"/>
            <color rgb="FFFF0000"/>
            <rFont val="Calibri"/>
            <family val="2"/>
          </rPr>
          <t>não gera mais boleto de vt)</t>
        </r>
      </is>
    </oc>
    <nc r="C327" t="inlineStr">
      <is>
        <t xml:space="preserve">2 VT por dia de seg a sex - LOGIN: 29237469000120 SENHA 12345 (não gera mais boleto de vt)
Luiza Pereira: segunda, quarta e sexta 07:00 a 12:00 (5hrs por dia) e terça e quinta de 07:00 a 10:00 (3hrs por dia).
</t>
      </is>
    </nc>
  </rcc>
  <rcc rId="652" sId="2">
    <oc r="C236" t="inlineStr">
      <is>
        <t>Lara tem múltiplos vinculos, não descontar INSS Plano da socia é fixo = 1.347,89,muda os valores anualmente. Lara 537,14 - Felipe 304,02 e Lucas 506,73
Funcionária tarbalha meio expediente, recebe meio salario da saúde + assiduidade. Em setembro de 2017 passou a trtabalhar 44 horas semanais.</t>
      </is>
    </oc>
    <nc r="C236" t="inlineStr">
      <is>
        <t xml:space="preserve">Lara tem múltiplos vinculos, não descontar INSS Plano da socia é fixo = 1.347,89,muda os valores anualmente. Lara 537,14 - Felipe 304,02 e Lucas 506,73
Funcionária tarbalha meio expediente, recebe meio salario da saúde + assiduidade. Em setembro de 2017 passou a trtabalhar 44 horas semanais.  - ASSIDUIDADE SALARIO CONTRATUAL </t>
      </is>
    </nc>
  </rcc>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3" sId="4">
    <oc r="B3">
      <v>13</v>
    </oc>
    <nc r="B3"/>
  </rcc>
  <rcc rId="654" sId="4">
    <oc r="C3" t="inlineStr">
      <is>
        <t>,</t>
      </is>
    </oc>
    <nc r="C3"/>
  </rcc>
  <rcc rId="655" sId="4">
    <oc r="D3">
      <f>CONCATENATE(B3,C3)</f>
    </oc>
    <nc r="D3"/>
  </rcc>
  <rcc rId="656" sId="4">
    <oc r="E3" t="inlineStr">
      <is>
        <t>13,</t>
      </is>
    </oc>
    <nc r="E3"/>
  </rcc>
  <rcc rId="657" sId="4">
    <oc r="F3" t="inlineStr">
      <is>
        <t>352,</t>
      </is>
    </oc>
    <nc r="F3"/>
  </rcc>
  <rcc rId="658" sId="4">
    <oc r="G3" t="inlineStr">
      <is>
        <t>422,</t>
      </is>
    </oc>
    <nc r="G3"/>
  </rcc>
  <rcc rId="659" sId="4">
    <oc r="H3" t="inlineStr">
      <is>
        <t>445,</t>
      </is>
    </oc>
    <nc r="H3"/>
  </rcc>
  <rcc rId="660" sId="4">
    <oc r="I3" t="inlineStr">
      <is>
        <t>459,</t>
      </is>
    </oc>
    <nc r="I3"/>
  </rcc>
  <rcc rId="661" sId="4">
    <oc r="J3" t="inlineStr">
      <is>
        <t>465,</t>
      </is>
    </oc>
    <nc r="J3"/>
  </rcc>
  <rcc rId="662" sId="4">
    <oc r="K3" t="inlineStr">
      <is>
        <t>480,</t>
      </is>
    </oc>
    <nc r="K3"/>
  </rcc>
  <rcc rId="663" sId="4">
    <oc r="L3" t="inlineStr">
      <is>
        <t>507,</t>
      </is>
    </oc>
    <nc r="L3"/>
  </rcc>
  <rcc rId="664" sId="4">
    <oc r="M3" t="inlineStr">
      <is>
        <t>577,</t>
      </is>
    </oc>
    <nc r="M3"/>
  </rcc>
  <rcc rId="665" sId="4">
    <oc r="N3" t="inlineStr">
      <is>
        <t>598,</t>
      </is>
    </oc>
    <nc r="N3"/>
  </rcc>
  <rcc rId="666" sId="4">
    <oc r="O3" t="inlineStr">
      <is>
        <t>669,</t>
      </is>
    </oc>
    <nc r="O3"/>
  </rcc>
  <rcc rId="667" sId="4">
    <oc r="P3" t="inlineStr">
      <is>
        <t>763,</t>
      </is>
    </oc>
    <nc r="P3"/>
  </rcc>
  <rcc rId="668" sId="4">
    <oc r="Q3" t="inlineStr">
      <is>
        <t>767,</t>
      </is>
    </oc>
    <nc r="Q3"/>
  </rcc>
  <rcc rId="669" sId="4">
    <oc r="R3" t="inlineStr">
      <is>
        <t>822,</t>
      </is>
    </oc>
    <nc r="R3"/>
  </rcc>
  <rcc rId="670" sId="4">
    <oc r="S3" t="inlineStr">
      <is>
        <t>827,</t>
      </is>
    </oc>
    <nc r="S3"/>
  </rcc>
  <rcc rId="671" sId="4">
    <oc r="T3" t="inlineStr">
      <is>
        <t>843,</t>
      </is>
    </oc>
    <nc r="T3"/>
  </rcc>
  <rcc rId="672" sId="4">
    <oc r="U3" t="inlineStr">
      <is>
        <t>858,</t>
      </is>
    </oc>
    <nc r="U3"/>
  </rcc>
  <rcc rId="673" sId="4">
    <oc r="V3" t="inlineStr">
      <is>
        <t>861,</t>
      </is>
    </oc>
    <nc r="V3"/>
  </rcc>
  <rcc rId="674" sId="4">
    <oc r="W3" t="inlineStr">
      <is>
        <t>862,</t>
      </is>
    </oc>
    <nc r="W3"/>
  </rcc>
  <rcc rId="675" sId="4">
    <oc r="X3" t="inlineStr">
      <is>
        <t>865,</t>
      </is>
    </oc>
    <nc r="X3"/>
  </rcc>
  <rcc rId="676" sId="4">
    <oc r="B4">
      <v>352</v>
    </oc>
    <nc r="B4"/>
  </rcc>
  <rcc rId="677" sId="4">
    <oc r="C4" t="inlineStr">
      <is>
        <t>,</t>
      </is>
    </oc>
    <nc r="C4"/>
  </rcc>
  <rcc rId="678" sId="4">
    <oc r="D4">
      <f>CONCATENATE(B4,C4)</f>
    </oc>
    <nc r="D4"/>
  </rcc>
  <rcc rId="679" sId="4">
    <oc r="B5">
      <v>422</v>
    </oc>
    <nc r="B5"/>
  </rcc>
  <rcc rId="680" sId="4">
    <oc r="C5" t="inlineStr">
      <is>
        <t>,</t>
      </is>
    </oc>
    <nc r="C5"/>
  </rcc>
  <rcc rId="681" sId="4">
    <oc r="D5">
      <f>CONCATENATE(B5,C5)</f>
    </oc>
    <nc r="D5"/>
  </rcc>
  <rcc rId="682" sId="4">
    <oc r="B6">
      <v>445</v>
    </oc>
    <nc r="B6"/>
  </rcc>
  <rcc rId="683" sId="4">
    <oc r="C6" t="inlineStr">
      <is>
        <t>,</t>
      </is>
    </oc>
    <nc r="C6"/>
  </rcc>
  <rcc rId="684" sId="4">
    <oc r="D6">
      <f>CONCATENATE(B6,C6)</f>
    </oc>
    <nc r="D6"/>
  </rcc>
  <rcc rId="685" sId="4">
    <oc r="E6" t="inlineStr">
      <is>
        <t>11,</t>
      </is>
    </oc>
    <nc r="E6"/>
  </rcc>
  <rcc rId="686" sId="4">
    <oc r="F6" t="inlineStr">
      <is>
        <t>47,</t>
      </is>
    </oc>
    <nc r="F6"/>
  </rcc>
  <rcc rId="687" sId="4">
    <oc r="G6" t="inlineStr">
      <is>
        <t>252,</t>
      </is>
    </oc>
    <nc r="G6"/>
  </rcc>
  <rcc rId="688" sId="4">
    <oc r="H6" t="inlineStr">
      <is>
        <t>297,</t>
      </is>
    </oc>
    <nc r="H6"/>
  </rcc>
  <rcc rId="689" sId="4">
    <oc r="I6" t="inlineStr">
      <is>
        <t>310,</t>
      </is>
    </oc>
    <nc r="I6"/>
  </rcc>
  <rcc rId="690" sId="4">
    <oc r="J6" t="inlineStr">
      <is>
        <t>369,</t>
      </is>
    </oc>
    <nc r="J6"/>
  </rcc>
  <rcc rId="691" sId="4">
    <oc r="K6" t="inlineStr">
      <is>
        <t>385,</t>
      </is>
    </oc>
    <nc r="K6"/>
  </rcc>
  <rcc rId="692" sId="4">
    <oc r="L6" t="inlineStr">
      <is>
        <t>407,</t>
      </is>
    </oc>
    <nc r="L6"/>
  </rcc>
  <rcc rId="693" sId="4">
    <oc r="M6" t="inlineStr">
      <is>
        <t>438,</t>
      </is>
    </oc>
    <nc r="M6"/>
  </rcc>
  <rcc rId="694" sId="4">
    <oc r="N6" t="inlineStr">
      <is>
        <t>452,</t>
      </is>
    </oc>
    <nc r="N6"/>
  </rcc>
  <rcc rId="695" sId="4">
    <oc r="O6" t="inlineStr">
      <is>
        <t>469,</t>
      </is>
    </oc>
    <nc r="O6"/>
  </rcc>
  <rcc rId="696" sId="4">
    <oc r="P6" t="inlineStr">
      <is>
        <t>533,</t>
      </is>
    </oc>
    <nc r="P6"/>
  </rcc>
  <rcc rId="697" sId="4">
    <oc r="Q6" t="inlineStr">
      <is>
        <t>535,</t>
      </is>
    </oc>
    <nc r="Q6"/>
  </rcc>
  <rcc rId="698" sId="4">
    <oc r="R6" t="inlineStr">
      <is>
        <t>553,</t>
      </is>
    </oc>
    <nc r="R6"/>
  </rcc>
  <rcc rId="699" sId="4">
    <oc r="S6" t="inlineStr">
      <is>
        <t>567,</t>
      </is>
    </oc>
    <nc r="S6"/>
  </rcc>
  <rcc rId="700" sId="4">
    <oc r="T6" t="inlineStr">
      <is>
        <t>582,</t>
      </is>
    </oc>
    <nc r="T6"/>
  </rcc>
  <rcc rId="701" sId="4">
    <oc r="U6" t="inlineStr">
      <is>
        <t>592,</t>
      </is>
    </oc>
    <nc r="U6"/>
  </rcc>
  <rcc rId="702" sId="4">
    <oc r="V6" t="inlineStr">
      <is>
        <t>594,</t>
      </is>
    </oc>
    <nc r="V6"/>
  </rcc>
  <rcc rId="703" sId="4">
    <oc r="W6" t="inlineStr">
      <is>
        <t>662,</t>
      </is>
    </oc>
    <nc r="W6"/>
  </rcc>
  <rcc rId="704" sId="4">
    <oc r="X6" t="inlineStr">
      <is>
        <t>688,</t>
      </is>
    </oc>
    <nc r="X6"/>
  </rcc>
  <rcc rId="705" sId="4">
    <oc r="Y6" t="inlineStr">
      <is>
        <t>692,</t>
      </is>
    </oc>
    <nc r="Y6"/>
  </rcc>
  <rcc rId="706" sId="4">
    <oc r="Z6" t="inlineStr">
      <is>
        <t>730,</t>
      </is>
    </oc>
    <nc r="Z6"/>
  </rcc>
  <rcc rId="707" sId="4">
    <oc r="AA6" t="inlineStr">
      <is>
        <t>760,</t>
      </is>
    </oc>
    <nc r="AA6"/>
  </rcc>
  <rcc rId="708" sId="4">
    <oc r="AB6" t="inlineStr">
      <is>
        <t>761,</t>
      </is>
    </oc>
    <nc r="AB6"/>
  </rcc>
  <rcc rId="709" sId="4">
    <oc r="AC6" t="inlineStr">
      <is>
        <t>769,</t>
      </is>
    </oc>
    <nc r="AC6"/>
  </rcc>
  <rcc rId="710" sId="4">
    <oc r="AD6" t="inlineStr">
      <is>
        <t>785,</t>
      </is>
    </oc>
    <nc r="AD6"/>
  </rcc>
  <rcc rId="711" sId="4">
    <oc r="AE6" t="inlineStr">
      <is>
        <t>791,</t>
      </is>
    </oc>
    <nc r="AE6"/>
  </rcc>
  <rcc rId="712" sId="4">
    <oc r="AF6" t="inlineStr">
      <is>
        <t>800,</t>
      </is>
    </oc>
    <nc r="AF6"/>
  </rcc>
  <rcc rId="713" sId="4">
    <oc r="AG6" t="inlineStr">
      <is>
        <t>802,</t>
      </is>
    </oc>
    <nc r="AG6"/>
  </rcc>
  <rcc rId="714" sId="4">
    <oc r="AH6" t="inlineStr">
      <is>
        <t>826,</t>
      </is>
    </oc>
    <nc r="AH6"/>
  </rcc>
  <rcc rId="715" sId="4">
    <oc r="AI6" t="inlineStr">
      <is>
        <t>895,</t>
      </is>
    </oc>
    <nc r="AI6"/>
  </rcc>
  <rcc rId="716" sId="4">
    <oc r="AJ6" t="inlineStr">
      <is>
        <t>899,</t>
      </is>
    </oc>
    <nc r="AJ6"/>
  </rcc>
  <rcc rId="717" sId="4">
    <oc r="AK6" t="inlineStr">
      <is>
        <t>1010,</t>
      </is>
    </oc>
    <nc r="AK6"/>
  </rcc>
  <rcc rId="718" sId="4">
    <oc r="B7">
      <v>459</v>
    </oc>
    <nc r="B7"/>
  </rcc>
  <rcc rId="719" sId="4">
    <oc r="C7" t="inlineStr">
      <is>
        <t>,</t>
      </is>
    </oc>
    <nc r="C7"/>
  </rcc>
  <rcc rId="720" sId="4">
    <oc r="D7">
      <f>CONCATENATE(B7,C7)</f>
    </oc>
    <nc r="D7"/>
  </rcc>
  <rcc rId="721" sId="4">
    <oc r="B8">
      <v>465</v>
    </oc>
    <nc r="B8"/>
  </rcc>
  <rcc rId="722" sId="4">
    <oc r="C8" t="inlineStr">
      <is>
        <t>,</t>
      </is>
    </oc>
    <nc r="C8"/>
  </rcc>
  <rcc rId="723" sId="4">
    <oc r="D8">
      <f>CONCATENATE(B8,C8)</f>
    </oc>
    <nc r="D8"/>
  </rcc>
  <rcc rId="724" sId="4">
    <oc r="B9">
      <v>480</v>
    </oc>
    <nc r="B9"/>
  </rcc>
  <rcc rId="725" sId="4">
    <oc r="C9" t="inlineStr">
      <is>
        <t>,</t>
      </is>
    </oc>
    <nc r="C9"/>
  </rcc>
  <rcc rId="726" sId="4">
    <oc r="D9">
      <f>CONCATENATE(B9,C9)</f>
    </oc>
    <nc r="D9"/>
  </rcc>
  <rcc rId="727" sId="4">
    <oc r="B10">
      <v>507</v>
    </oc>
    <nc r="B10"/>
  </rcc>
  <rcc rId="728" sId="4">
    <oc r="C10" t="inlineStr">
      <is>
        <t>,</t>
      </is>
    </oc>
    <nc r="C10"/>
  </rcc>
  <rcc rId="729" sId="4">
    <oc r="D10">
      <f>CONCATENATE(B10,C10)</f>
    </oc>
    <nc r="D10"/>
  </rcc>
  <rcc rId="730" sId="4">
    <oc r="E10" t="inlineStr">
      <is>
        <t>13,</t>
      </is>
    </oc>
    <nc r="E10"/>
  </rcc>
  <rcc rId="731" sId="4">
    <oc r="F10" t="inlineStr">
      <is>
        <t>352,</t>
      </is>
    </oc>
    <nc r="F10"/>
  </rcc>
  <rcc rId="732" sId="4">
    <oc r="G10" t="inlineStr">
      <is>
        <t>422,</t>
      </is>
    </oc>
    <nc r="G10"/>
  </rcc>
  <rcc rId="733" sId="4">
    <oc r="H10" t="inlineStr">
      <is>
        <t>445,</t>
      </is>
    </oc>
    <nc r="H10"/>
  </rcc>
  <rcc rId="734" sId="4">
    <oc r="I10" t="inlineStr">
      <is>
        <t>459,</t>
      </is>
    </oc>
    <nc r="I10"/>
  </rcc>
  <rcc rId="735" sId="4">
    <oc r="J10" t="inlineStr">
      <is>
        <t>465,</t>
      </is>
    </oc>
    <nc r="J10"/>
  </rcc>
  <rcc rId="736" sId="4">
    <oc r="K10" t="inlineStr">
      <is>
        <t>480,</t>
      </is>
    </oc>
    <nc r="K10"/>
  </rcc>
  <rcc rId="737" sId="4">
    <oc r="L10" t="inlineStr">
      <is>
        <t>507,</t>
      </is>
    </oc>
    <nc r="L10"/>
  </rcc>
  <rcc rId="738" sId="4">
    <oc r="M10" t="inlineStr">
      <is>
        <t>577,</t>
      </is>
    </oc>
    <nc r="M10"/>
  </rcc>
  <rcc rId="739" sId="4">
    <oc r="N10" t="inlineStr">
      <is>
        <t>598,</t>
      </is>
    </oc>
    <nc r="N10"/>
  </rcc>
  <rcc rId="740" sId="4">
    <oc r="O10" t="inlineStr">
      <is>
        <t>669,</t>
      </is>
    </oc>
    <nc r="O10"/>
  </rcc>
  <rcc rId="741" sId="4">
    <oc r="P10" t="inlineStr">
      <is>
        <t>763,</t>
      </is>
    </oc>
    <nc r="P10"/>
  </rcc>
  <rcc rId="742" sId="4">
    <oc r="Q10" t="inlineStr">
      <is>
        <t>767,</t>
      </is>
    </oc>
    <nc r="Q10"/>
  </rcc>
  <rcc rId="743" sId="4">
    <oc r="R10" t="inlineStr">
      <is>
        <t>767,</t>
      </is>
    </oc>
    <nc r="R10"/>
  </rcc>
  <rcc rId="744" sId="4">
    <oc r="S10" t="inlineStr">
      <is>
        <t>822,</t>
      </is>
    </oc>
    <nc r="S10"/>
  </rcc>
  <rcc rId="745" sId="4">
    <oc r="T10" t="inlineStr">
      <is>
        <t>827,</t>
      </is>
    </oc>
    <nc r="T10"/>
  </rcc>
  <rcc rId="746" sId="4">
    <oc r="U10" t="inlineStr">
      <is>
        <t>843,</t>
      </is>
    </oc>
    <nc r="U10"/>
  </rcc>
  <rcc rId="747" sId="4">
    <oc r="V10" t="inlineStr">
      <is>
        <t>858,</t>
      </is>
    </oc>
    <nc r="V10"/>
  </rcc>
  <rcc rId="748" sId="4">
    <oc r="W10" t="inlineStr">
      <is>
        <t>861,</t>
      </is>
    </oc>
    <nc r="W10"/>
  </rcc>
  <rcc rId="749" sId="4">
    <oc r="X10" t="inlineStr">
      <is>
        <t>862,</t>
      </is>
    </oc>
    <nc r="X10"/>
  </rcc>
  <rcc rId="750" sId="4">
    <oc r="Y10" t="inlineStr">
      <is>
        <t>865,</t>
      </is>
    </oc>
    <nc r="Y10"/>
  </rcc>
  <rcc rId="751" sId="4">
    <oc r="B11">
      <v>577</v>
    </oc>
    <nc r="B11"/>
  </rcc>
  <rcc rId="752" sId="4">
    <oc r="C11" t="inlineStr">
      <is>
        <t>,</t>
      </is>
    </oc>
    <nc r="C11"/>
  </rcc>
  <rcc rId="753" sId="4">
    <oc r="D11">
      <f>CONCATENATE(B11,C11)</f>
    </oc>
    <nc r="D11"/>
  </rcc>
  <rcc rId="754" sId="4">
    <oc r="B12">
      <v>598</v>
    </oc>
    <nc r="B12"/>
  </rcc>
  <rcc rId="755" sId="4">
    <oc r="C12" t="inlineStr">
      <is>
        <t>,</t>
      </is>
    </oc>
    <nc r="C12"/>
  </rcc>
  <rcc rId="756" sId="4">
    <oc r="D12">
      <f>CONCATENATE(B12,C12)</f>
    </oc>
    <nc r="D12"/>
  </rcc>
  <rcc rId="757" sId="4">
    <oc r="B13">
      <v>669</v>
    </oc>
    <nc r="B13"/>
  </rcc>
  <rcc rId="758" sId="4">
    <oc r="C13" t="inlineStr">
      <is>
        <t>,</t>
      </is>
    </oc>
    <nc r="C13"/>
  </rcc>
  <rcc rId="759" sId="4">
    <oc r="D13">
      <f>CONCATENATE(B13,C13)</f>
    </oc>
    <nc r="D13"/>
  </rcc>
  <rcc rId="760" sId="4">
    <oc r="B14">
      <v>763</v>
    </oc>
    <nc r="B14"/>
  </rcc>
  <rcc rId="761" sId="4">
    <oc r="C14" t="inlineStr">
      <is>
        <t>,</t>
      </is>
    </oc>
    <nc r="C14"/>
  </rcc>
  <rcc rId="762" sId="4">
    <oc r="D14">
      <f>CONCATENATE(B14,C14)</f>
    </oc>
    <nc r="D14"/>
  </rcc>
  <rcc rId="763" sId="4">
    <oc r="B15">
      <v>767</v>
    </oc>
    <nc r="B15"/>
  </rcc>
  <rcc rId="764" sId="4">
    <oc r="C15" t="inlineStr">
      <is>
        <t>,</t>
      </is>
    </oc>
    <nc r="C15"/>
  </rcc>
  <rcc rId="765" sId="4">
    <oc r="D15">
      <f>CONCATENATE(B15,C15)</f>
    </oc>
    <nc r="D15"/>
  </rcc>
  <rcc rId="766" sId="4">
    <oc r="B16">
      <v>767</v>
    </oc>
    <nc r="B16"/>
  </rcc>
  <rcc rId="767" sId="4">
    <oc r="C16" t="inlineStr">
      <is>
        <t>,</t>
      </is>
    </oc>
    <nc r="C16"/>
  </rcc>
  <rcc rId="768" sId="4">
    <oc r="D16">
      <f>CONCATENATE(B16,C16)</f>
    </oc>
    <nc r="D16"/>
  </rcc>
  <rcc rId="769" sId="4">
    <oc r="B17">
      <v>822</v>
    </oc>
    <nc r="B17"/>
  </rcc>
  <rcc rId="770" sId="4">
    <oc r="C17" t="inlineStr">
      <is>
        <t>,</t>
      </is>
    </oc>
    <nc r="C17"/>
  </rcc>
  <rcc rId="771" sId="4">
    <oc r="D17">
      <f>CONCATENATE(B17,C17)</f>
    </oc>
    <nc r="D17"/>
  </rcc>
  <rcc rId="772" sId="4">
    <oc r="B18">
      <v>827</v>
    </oc>
    <nc r="B18"/>
  </rcc>
  <rcc rId="773" sId="4">
    <oc r="C18" t="inlineStr">
      <is>
        <t>,</t>
      </is>
    </oc>
    <nc r="C18"/>
  </rcc>
  <rcc rId="774" sId="4">
    <oc r="D18">
      <f>CONCATENATE(B18,C18)</f>
    </oc>
    <nc r="D18"/>
  </rcc>
  <rcc rId="775" sId="4">
    <oc r="B19">
      <v>843</v>
    </oc>
    <nc r="B19"/>
  </rcc>
  <rcc rId="776" sId="4">
    <oc r="C19" t="inlineStr">
      <is>
        <t>,</t>
      </is>
    </oc>
    <nc r="C19"/>
  </rcc>
  <rcc rId="777" sId="4">
    <oc r="D19">
      <f>CONCATENATE(B19,C19)</f>
    </oc>
    <nc r="D19"/>
  </rcc>
  <rcc rId="778" sId="4">
    <oc r="B20">
      <v>858</v>
    </oc>
    <nc r="B20"/>
  </rcc>
  <rcc rId="779" sId="4">
    <oc r="C20" t="inlineStr">
      <is>
        <t>,</t>
      </is>
    </oc>
    <nc r="C20"/>
  </rcc>
  <rcc rId="780" sId="4">
    <oc r="D20">
      <f>CONCATENATE(B20,C20)</f>
    </oc>
    <nc r="D20"/>
  </rcc>
  <rcc rId="781" sId="4">
    <oc r="B21">
      <v>861</v>
    </oc>
    <nc r="B21"/>
  </rcc>
  <rcc rId="782" sId="4">
    <oc r="C21" t="inlineStr">
      <is>
        <t>,</t>
      </is>
    </oc>
    <nc r="C21"/>
  </rcc>
  <rcc rId="783" sId="4">
    <oc r="D21">
      <f>CONCATENATE(B21,C21)</f>
    </oc>
    <nc r="D21"/>
  </rcc>
  <rcc rId="784" sId="4">
    <oc r="B22">
      <v>862</v>
    </oc>
    <nc r="B22"/>
  </rcc>
  <rcc rId="785" sId="4">
    <oc r="C22" t="inlineStr">
      <is>
        <t>,</t>
      </is>
    </oc>
    <nc r="C22"/>
  </rcc>
  <rcc rId="786" sId="4">
    <oc r="D22">
      <f>CONCATENATE(B22,C22)</f>
    </oc>
    <nc r="D22"/>
  </rcc>
  <rcc rId="787" sId="4">
    <oc r="B23">
      <v>865</v>
    </oc>
    <nc r="B23"/>
  </rcc>
  <rcc rId="788" sId="4">
    <oc r="C23" t="inlineStr">
      <is>
        <t>,</t>
      </is>
    </oc>
    <nc r="C23"/>
  </rcc>
  <rcc rId="789" sId="4">
    <oc r="D23">
      <f>CONCATENATE(B23,C23)</f>
    </oc>
    <nc r="D23"/>
  </rcc>
  <rcc rId="790" sId="4">
    <oc r="B24">
      <v>378</v>
    </oc>
    <nc r="B24"/>
  </rcc>
  <rcc rId="791" sId="4">
    <oc r="C24" t="inlineStr">
      <is>
        <t>,</t>
      </is>
    </oc>
    <nc r="C24"/>
  </rcc>
  <rcc rId="792" sId="4">
    <oc r="D24">
      <f>CONCATENATE(B24,C24)</f>
    </oc>
    <nc r="D24"/>
  </rcc>
  <rcc rId="793" sId="4">
    <oc r="B25">
      <v>403</v>
    </oc>
    <nc r="B25"/>
  </rcc>
  <rcc rId="794" sId="4">
    <oc r="C25" t="inlineStr">
      <is>
        <t>,</t>
      </is>
    </oc>
    <nc r="C25"/>
  </rcc>
  <rcc rId="795" sId="4">
    <oc r="D25">
      <f>CONCATENATE(B25,C25)</f>
    </oc>
    <nc r="D25"/>
  </rcc>
  <rcc rId="796" sId="4">
    <oc r="B26">
      <v>427</v>
    </oc>
    <nc r="B26"/>
  </rcc>
  <rcc rId="797" sId="4">
    <oc r="C26" t="inlineStr">
      <is>
        <t>,</t>
      </is>
    </oc>
    <nc r="C26"/>
  </rcc>
  <rcc rId="798" sId="4">
    <oc r="D26">
      <f>CONCATENATE(B26,C26)</f>
    </oc>
    <nc r="D26"/>
  </rcc>
  <rcc rId="799" sId="4">
    <oc r="B27">
      <v>446</v>
    </oc>
    <nc r="B27"/>
  </rcc>
  <rcc rId="800" sId="4">
    <oc r="C27" t="inlineStr">
      <is>
        <t>,</t>
      </is>
    </oc>
    <nc r="C27"/>
  </rcc>
  <rcc rId="801" sId="4">
    <oc r="D27">
      <f>CONCATENATE(B27,C27)</f>
    </oc>
    <nc r="D27"/>
  </rcc>
  <rcc rId="802" sId="4">
    <oc r="B28">
      <v>457</v>
    </oc>
    <nc r="B28"/>
  </rcc>
  <rcc rId="803" sId="4">
    <oc r="C28" t="inlineStr">
      <is>
        <t>,</t>
      </is>
    </oc>
    <nc r="C28"/>
  </rcc>
  <rcc rId="804" sId="4">
    <oc r="D28">
      <f>CONCATENATE(B28,C28)</f>
    </oc>
    <nc r="D28"/>
  </rcc>
  <rcc rId="805" sId="4">
    <oc r="B29">
      <v>463</v>
    </oc>
    <nc r="B29"/>
  </rcc>
  <rcc rId="806" sId="4">
    <oc r="C29" t="inlineStr">
      <is>
        <t>,</t>
      </is>
    </oc>
    <nc r="C29"/>
  </rcc>
  <rcc rId="807" sId="4">
    <oc r="D29">
      <f>CONCATENATE(B29,C29)</f>
    </oc>
    <nc r="D29"/>
  </rcc>
  <rcc rId="808" sId="4">
    <oc r="B30">
      <v>473</v>
    </oc>
    <nc r="B30"/>
  </rcc>
  <rcc rId="809" sId="4">
    <oc r="C30" t="inlineStr">
      <is>
        <t>,</t>
      </is>
    </oc>
    <nc r="C30"/>
  </rcc>
  <rcc rId="810" sId="4">
    <oc r="D30">
      <f>CONCATENATE(B30,C30)</f>
    </oc>
    <nc r="D30"/>
  </rcc>
  <rcc rId="811" sId="4">
    <oc r="B31">
      <v>475</v>
    </oc>
    <nc r="B31"/>
  </rcc>
  <rcc rId="812" sId="4">
    <oc r="C31" t="inlineStr">
      <is>
        <t>,</t>
      </is>
    </oc>
    <nc r="C31"/>
  </rcc>
  <rcc rId="813" sId="4">
    <oc r="D31">
      <f>CONCATENATE(B31,C31)</f>
    </oc>
    <nc r="D31"/>
  </rcc>
  <rcc rId="814" sId="4">
    <oc r="B32">
      <v>482</v>
    </oc>
    <nc r="B32"/>
  </rcc>
  <rcc rId="815" sId="4">
    <oc r="C32" t="inlineStr">
      <is>
        <t>,</t>
      </is>
    </oc>
    <nc r="C32"/>
  </rcc>
  <rcc rId="816" sId="4">
    <oc r="D32">
      <f>CONCATENATE(B32,C32)</f>
    </oc>
    <nc r="D32"/>
  </rcc>
  <rcc rId="817" sId="4">
    <oc r="B33">
      <v>483</v>
    </oc>
    <nc r="B33"/>
  </rcc>
  <rcc rId="818" sId="4">
    <oc r="C33" t="inlineStr">
      <is>
        <t>,</t>
      </is>
    </oc>
    <nc r="C33"/>
  </rcc>
  <rcc rId="819" sId="4">
    <oc r="D33">
      <f>CONCATENATE(B33,C33)</f>
    </oc>
    <nc r="D33"/>
  </rcc>
  <rcc rId="820" sId="4">
    <oc r="B34">
      <v>484</v>
    </oc>
    <nc r="B34"/>
  </rcc>
  <rcc rId="821" sId="4">
    <oc r="C34" t="inlineStr">
      <is>
        <t>,</t>
      </is>
    </oc>
    <nc r="C34"/>
  </rcc>
  <rcc rId="822" sId="4">
    <oc r="D34">
      <f>CONCATENATE(B34,C34)</f>
    </oc>
    <nc r="D34"/>
  </rcc>
  <rcc rId="823" sId="4">
    <oc r="B35">
      <v>485</v>
    </oc>
    <nc r="B35"/>
  </rcc>
  <rcc rId="824" sId="4">
    <oc r="C35" t="inlineStr">
      <is>
        <t>,</t>
      </is>
    </oc>
    <nc r="C35"/>
  </rcc>
  <rcc rId="825" sId="4">
    <oc r="D35">
      <f>CONCATENATE(B35,C35)</f>
    </oc>
    <nc r="D35"/>
  </rcc>
  <rcc rId="826" sId="4">
    <oc r="B36">
      <v>486</v>
    </oc>
    <nc r="B36"/>
  </rcc>
  <rcc rId="827" sId="4">
    <oc r="C36" t="inlineStr">
      <is>
        <t>,</t>
      </is>
    </oc>
    <nc r="C36"/>
  </rcc>
  <rcc rId="828" sId="4">
    <oc r="D36">
      <f>CONCATENATE(B36,C36)</f>
    </oc>
    <nc r="D36"/>
  </rcc>
  <rcc rId="829" sId="4">
    <oc r="B37">
      <v>488</v>
    </oc>
    <nc r="B37"/>
  </rcc>
  <rcc rId="830" sId="4">
    <oc r="C37" t="inlineStr">
      <is>
        <t>,</t>
      </is>
    </oc>
    <nc r="C37"/>
  </rcc>
  <rcc rId="831" sId="4">
    <oc r="D37">
      <f>CONCATENATE(B37,C37)</f>
    </oc>
    <nc r="D37"/>
  </rcc>
  <rcc rId="832" sId="4">
    <oc r="B38">
      <v>490</v>
    </oc>
    <nc r="B38"/>
  </rcc>
  <rcc rId="833" sId="4">
    <oc r="C38" t="inlineStr">
      <is>
        <t>,</t>
      </is>
    </oc>
    <nc r="C38"/>
  </rcc>
  <rcc rId="834" sId="4">
    <oc r="D38">
      <f>CONCATENATE(B38,C38)</f>
    </oc>
    <nc r="D38"/>
  </rcc>
  <rcc rId="835" sId="4">
    <oc r="B39">
      <v>494</v>
    </oc>
    <nc r="B39"/>
  </rcc>
  <rcc rId="836" sId="4">
    <oc r="C39" t="inlineStr">
      <is>
        <t>,</t>
      </is>
    </oc>
    <nc r="C39"/>
  </rcc>
  <rcc rId="837" sId="4">
    <oc r="D39">
      <f>CONCATENATE(B39,C39)</f>
    </oc>
    <nc r="D39"/>
  </rcc>
  <rcc rId="838" sId="4">
    <oc r="B40">
      <v>495</v>
    </oc>
    <nc r="B40"/>
  </rcc>
  <rcc rId="839" sId="4">
    <oc r="C40" t="inlineStr">
      <is>
        <t>,</t>
      </is>
    </oc>
    <nc r="C40"/>
  </rcc>
  <rcc rId="840" sId="4">
    <oc r="D40">
      <f>CONCATENATE(B40,C40)</f>
    </oc>
    <nc r="D40"/>
  </rcc>
  <rcc rId="841" sId="4">
    <oc r="B41">
      <v>496</v>
    </oc>
    <nc r="B41"/>
  </rcc>
  <rcc rId="842" sId="4">
    <oc r="C41" t="inlineStr">
      <is>
        <t>,</t>
      </is>
    </oc>
    <nc r="C41"/>
  </rcc>
  <rcc rId="843" sId="4">
    <oc r="D41">
      <f>CONCATENATE(B41,C41)</f>
    </oc>
    <nc r="D41"/>
  </rcc>
  <rcc rId="844" sId="4">
    <oc r="B42">
      <v>522</v>
    </oc>
    <nc r="B42"/>
  </rcc>
  <rcc rId="845" sId="4">
    <oc r="C42" t="inlineStr">
      <is>
        <t>,</t>
      </is>
    </oc>
    <nc r="C42"/>
  </rcc>
  <rcc rId="846" sId="4">
    <oc r="D42">
      <f>CONCATENATE(B42,C42)</f>
    </oc>
    <nc r="D42"/>
  </rcc>
  <rcc rId="847" sId="4">
    <oc r="B43">
      <v>541</v>
    </oc>
    <nc r="B43"/>
  </rcc>
  <rcc rId="848" sId="4">
    <oc r="C43" t="inlineStr">
      <is>
        <t>,</t>
      </is>
    </oc>
    <nc r="C43"/>
  </rcc>
  <rcc rId="849" sId="4">
    <oc r="D43">
      <f>CONCATENATE(B43,C43)</f>
    </oc>
    <nc r="D43"/>
  </rcc>
  <rcc rId="850" sId="4">
    <oc r="B44">
      <v>545</v>
    </oc>
    <nc r="B44"/>
  </rcc>
  <rcc rId="851" sId="4">
    <oc r="C44" t="inlineStr">
      <is>
        <t>,</t>
      </is>
    </oc>
    <nc r="C44"/>
  </rcc>
  <rcc rId="852" sId="4">
    <oc r="D44">
      <f>CONCATENATE(B44,C44)</f>
    </oc>
    <nc r="D44"/>
  </rcc>
  <rcc rId="853" sId="4">
    <oc r="B45">
      <v>581</v>
    </oc>
    <nc r="B45"/>
  </rcc>
  <rcc rId="854" sId="4">
    <oc r="C45" t="inlineStr">
      <is>
        <t>,</t>
      </is>
    </oc>
    <nc r="C45"/>
  </rcc>
  <rcc rId="855" sId="4">
    <oc r="D45">
      <f>CONCATENATE(B45,C45)</f>
    </oc>
    <nc r="D45"/>
  </rcc>
  <rcc rId="856" sId="4">
    <oc r="B46">
      <v>587</v>
    </oc>
    <nc r="B46"/>
  </rcc>
  <rcc rId="857" sId="4">
    <oc r="C46" t="inlineStr">
      <is>
        <t>,</t>
      </is>
    </oc>
    <nc r="C46"/>
  </rcc>
  <rcc rId="858" sId="4">
    <oc r="D46">
      <f>CONCATENATE(B46,C46)</f>
    </oc>
    <nc r="D46"/>
  </rcc>
  <rcc rId="859" sId="4">
    <oc r="B47">
      <v>595</v>
    </oc>
    <nc r="B47"/>
  </rcc>
  <rcc rId="860" sId="4">
    <oc r="C47" t="inlineStr">
      <is>
        <t>,</t>
      </is>
    </oc>
    <nc r="C47"/>
  </rcc>
  <rcc rId="861" sId="4">
    <oc r="D47">
      <f>CONCATENATE(B47,C47)</f>
    </oc>
    <nc r="D47"/>
  </rcc>
  <rcc rId="862" sId="4">
    <oc r="B48">
      <v>599</v>
    </oc>
    <nc r="B48"/>
  </rcc>
  <rcc rId="863" sId="4">
    <oc r="C48" t="inlineStr">
      <is>
        <t>,</t>
      </is>
    </oc>
    <nc r="C48"/>
  </rcc>
  <rcc rId="864" sId="4">
    <oc r="D48">
      <f>CONCATENATE(B48,C48)</f>
    </oc>
    <nc r="D48"/>
  </rcc>
  <rcc rId="865" sId="4">
    <oc r="B49">
      <v>603</v>
    </oc>
    <nc r="B49"/>
  </rcc>
  <rcc rId="866" sId="4">
    <oc r="C49" t="inlineStr">
      <is>
        <t>,</t>
      </is>
    </oc>
    <nc r="C49"/>
  </rcc>
  <rcc rId="867" sId="4">
    <oc r="D49">
      <f>CONCATENATE(B49,C49)</f>
    </oc>
    <nc r="D49"/>
  </rcc>
  <rcc rId="868" sId="4">
    <oc r="B50">
      <v>664</v>
    </oc>
    <nc r="B50"/>
  </rcc>
  <rcc rId="869" sId="4">
    <oc r="C50" t="inlineStr">
      <is>
        <t>,</t>
      </is>
    </oc>
    <nc r="C50"/>
  </rcc>
  <rcc rId="870" sId="4">
    <oc r="D50">
      <f>CONCATENATE(B50,C50)</f>
    </oc>
    <nc r="D50"/>
  </rcc>
  <rcc rId="871" sId="4">
    <oc r="B51">
      <v>665</v>
    </oc>
    <nc r="B51"/>
  </rcc>
  <rcc rId="872" sId="4">
    <oc r="C51" t="inlineStr">
      <is>
        <t>,</t>
      </is>
    </oc>
    <nc r="C51"/>
  </rcc>
  <rcc rId="873" sId="4">
    <oc r="D51">
      <f>CONCATENATE(B51,C51)</f>
    </oc>
    <nc r="D51"/>
  </rcc>
  <rcc rId="874" sId="4">
    <oc r="B52">
      <v>667</v>
    </oc>
    <nc r="B52"/>
  </rcc>
  <rcc rId="875" sId="4">
    <oc r="C52" t="inlineStr">
      <is>
        <t>,</t>
      </is>
    </oc>
    <nc r="C52"/>
  </rcc>
  <rcc rId="876" sId="4">
    <oc r="D52">
      <f>CONCATENATE(B52,C52)</f>
    </oc>
    <nc r="D52"/>
  </rcc>
  <rcc rId="877" sId="4">
    <oc r="B53">
      <v>676</v>
    </oc>
    <nc r="B53"/>
  </rcc>
  <rcc rId="878" sId="4">
    <oc r="C53" t="inlineStr">
      <is>
        <t>,</t>
      </is>
    </oc>
    <nc r="C53"/>
  </rcc>
  <rcc rId="879" sId="4">
    <oc r="D53">
      <f>CONCATENATE(B53,C53)</f>
    </oc>
    <nc r="D53"/>
  </rcc>
  <rcc rId="880" sId="4">
    <oc r="B54">
      <v>684</v>
    </oc>
    <nc r="B54"/>
  </rcc>
  <rcc rId="881" sId="4">
    <oc r="C54" t="inlineStr">
      <is>
        <t>,</t>
      </is>
    </oc>
    <nc r="C54"/>
  </rcc>
  <rcc rId="882" sId="4">
    <oc r="D54">
      <f>CONCATENATE(B54,C54)</f>
    </oc>
    <nc r="D54"/>
  </rcc>
  <rcc rId="883" sId="4">
    <oc r="B55">
      <v>696</v>
    </oc>
    <nc r="B55"/>
  </rcc>
  <rcc rId="884" sId="4">
    <oc r="C55" t="inlineStr">
      <is>
        <t>,</t>
      </is>
    </oc>
    <nc r="C55"/>
  </rcc>
  <rcc rId="885" sId="4">
    <oc r="D55">
      <f>CONCATENATE(B55,C55)</f>
    </oc>
    <nc r="D55"/>
  </rcc>
  <rcc rId="886" sId="4">
    <oc r="B56">
      <v>700</v>
    </oc>
    <nc r="B56"/>
  </rcc>
  <rcc rId="887" sId="4">
    <oc r="C56" t="inlineStr">
      <is>
        <t>,</t>
      </is>
    </oc>
    <nc r="C56"/>
  </rcc>
  <rcc rId="888" sId="4">
    <oc r="D56">
      <f>CONCATENATE(B56,C56)</f>
    </oc>
    <nc r="D56"/>
  </rcc>
  <rcc rId="889" sId="4">
    <oc r="B57">
      <v>731</v>
    </oc>
    <nc r="B57"/>
  </rcc>
  <rcc rId="890" sId="4">
    <oc r="C57" t="inlineStr">
      <is>
        <t>,</t>
      </is>
    </oc>
    <nc r="C57"/>
  </rcc>
  <rcc rId="891" sId="4">
    <oc r="D57">
      <f>CONCATENATE(B57,C57)</f>
    </oc>
    <nc r="D57"/>
  </rcc>
  <rcc rId="892" sId="4">
    <oc r="B58">
      <v>749</v>
    </oc>
    <nc r="B58"/>
  </rcc>
  <rcc rId="893" sId="4">
    <oc r="C58" t="inlineStr">
      <is>
        <t>,</t>
      </is>
    </oc>
    <nc r="C58"/>
  </rcc>
  <rcc rId="894" sId="4">
    <oc r="D58">
      <f>CONCATENATE(B58,C58)</f>
    </oc>
    <nc r="D58"/>
  </rcc>
  <rcc rId="895" sId="4">
    <oc r="F58" t="inlineStr">
      <is>
        <t>4,</t>
      </is>
    </oc>
    <nc r="F58"/>
  </rcc>
  <rcc rId="896" sId="4">
    <oc r="G58" t="inlineStr">
      <is>
        <t>7,</t>
      </is>
    </oc>
    <nc r="G58"/>
  </rcc>
  <rcc rId="897" sId="4">
    <oc r="H58" t="inlineStr">
      <is>
        <t>34,</t>
      </is>
    </oc>
    <nc r="H58"/>
  </rcc>
  <rcc rId="898" sId="4">
    <oc r="I58" t="inlineStr">
      <is>
        <t>57,</t>
      </is>
    </oc>
    <nc r="I58"/>
  </rcc>
  <rcc rId="899" sId="4">
    <oc r="J58" t="inlineStr">
      <is>
        <t>63,</t>
      </is>
    </oc>
    <nc r="J58"/>
  </rcc>
  <rcc rId="900" sId="4">
    <oc r="K58" t="inlineStr">
      <is>
        <t>82,</t>
      </is>
    </oc>
    <nc r="K58"/>
  </rcc>
  <rcc rId="901" sId="4">
    <oc r="L58" t="inlineStr">
      <is>
        <t>86,</t>
      </is>
    </oc>
    <nc r="L58"/>
  </rcc>
  <rcc rId="902" sId="4">
    <oc r="M58" t="inlineStr">
      <is>
        <t>87,</t>
      </is>
    </oc>
    <nc r="M58"/>
  </rcc>
  <rcc rId="903" sId="4">
    <oc r="N58" t="inlineStr">
      <is>
        <t>89,</t>
      </is>
    </oc>
    <nc r="N58"/>
  </rcc>
  <rcc rId="904" sId="4">
    <oc r="O58" t="inlineStr">
      <is>
        <t>112,</t>
      </is>
    </oc>
    <nc r="O58"/>
  </rcc>
  <rcc rId="905" sId="4">
    <oc r="P58" t="inlineStr">
      <is>
        <t>119,</t>
      </is>
    </oc>
    <nc r="P58"/>
  </rcc>
  <rcc rId="906" sId="4">
    <oc r="Q58" t="inlineStr">
      <is>
        <t>178,</t>
      </is>
    </oc>
    <nc r="Q58"/>
  </rcc>
  <rcc rId="907" sId="4">
    <oc r="R58" t="inlineStr">
      <is>
        <t>227,</t>
      </is>
    </oc>
    <nc r="R58"/>
  </rcc>
  <rcc rId="908" sId="4">
    <oc r="S58" t="inlineStr">
      <is>
        <t>233,</t>
      </is>
    </oc>
    <nc r="S58"/>
  </rcc>
  <rcc rId="909" sId="4">
    <oc r="T58" t="inlineStr">
      <is>
        <t>244,</t>
      </is>
    </oc>
    <nc r="T58"/>
  </rcc>
  <rcc rId="910" sId="4">
    <oc r="U58" t="inlineStr">
      <is>
        <t>255,</t>
      </is>
    </oc>
    <nc r="U58"/>
  </rcc>
  <rcc rId="911" sId="4">
    <oc r="V58" t="inlineStr">
      <is>
        <t>257,</t>
      </is>
    </oc>
    <nc r="V58"/>
  </rcc>
  <rcc rId="912" sId="4">
    <oc r="W58" t="inlineStr">
      <is>
        <t>262,</t>
      </is>
    </oc>
    <nc r="W58"/>
  </rcc>
  <rcc rId="913" sId="4">
    <oc r="X58" t="inlineStr">
      <is>
        <t>266,</t>
      </is>
    </oc>
    <nc r="X58"/>
  </rcc>
  <rcc rId="914" sId="4">
    <oc r="Y58" t="inlineStr">
      <is>
        <t>281,</t>
      </is>
    </oc>
    <nc r="Y58"/>
  </rcc>
  <rcc rId="915" sId="4">
    <oc r="Z58" t="inlineStr">
      <is>
        <t>346,</t>
      </is>
    </oc>
    <nc r="Z58"/>
  </rcc>
  <rcc rId="916" sId="4">
    <oc r="AA58" t="inlineStr">
      <is>
        <t>378,</t>
      </is>
    </oc>
    <nc r="AA58"/>
  </rcc>
  <rcc rId="917" sId="4">
    <oc r="AB58" t="inlineStr">
      <is>
        <t>403,</t>
      </is>
    </oc>
    <nc r="AB58"/>
  </rcc>
  <rcc rId="918" sId="4">
    <oc r="AC58" t="inlineStr">
      <is>
        <t>427,</t>
      </is>
    </oc>
    <nc r="AC58"/>
  </rcc>
  <rcc rId="919" sId="4">
    <oc r="AD58" t="inlineStr">
      <is>
        <t>446,</t>
      </is>
    </oc>
    <nc r="AD58"/>
  </rcc>
  <rcc rId="920" sId="4">
    <oc r="AE58" t="inlineStr">
      <is>
        <t>457,</t>
      </is>
    </oc>
    <nc r="AE58"/>
  </rcc>
  <rcc rId="921" sId="4">
    <oc r="AF58" t="inlineStr">
      <is>
        <t>463,</t>
      </is>
    </oc>
    <nc r="AF58"/>
  </rcc>
  <rcc rId="922" sId="4">
    <oc r="AG58" t="inlineStr">
      <is>
        <t>473,</t>
      </is>
    </oc>
    <nc r="AG58"/>
  </rcc>
  <rcc rId="923" sId="4">
    <oc r="AH58" t="inlineStr">
      <is>
        <t>475,</t>
      </is>
    </oc>
    <nc r="AH58"/>
  </rcc>
  <rcc rId="924" sId="4">
    <oc r="AI58" t="inlineStr">
      <is>
        <t>482,</t>
      </is>
    </oc>
    <nc r="AI58"/>
  </rcc>
  <rcc rId="925" sId="4">
    <oc r="AJ58" t="inlineStr">
      <is>
        <t>483,</t>
      </is>
    </oc>
    <nc r="AJ58"/>
  </rcc>
  <rcc rId="926" sId="4">
    <oc r="AK58" t="inlineStr">
      <is>
        <t>484,</t>
      </is>
    </oc>
    <nc r="AK58"/>
  </rcc>
  <rcc rId="927" sId="4">
    <oc r="AL58" t="inlineStr">
      <is>
        <t>485,</t>
      </is>
    </oc>
    <nc r="AL58"/>
  </rcc>
  <rcc rId="928" sId="4">
    <oc r="AM58" t="inlineStr">
      <is>
        <t>486,</t>
      </is>
    </oc>
    <nc r="AM58"/>
  </rcc>
  <rcc rId="929" sId="4">
    <oc r="AN58" t="inlineStr">
      <is>
        <t>488,</t>
      </is>
    </oc>
    <nc r="AN58"/>
  </rcc>
  <rcc rId="930" sId="4">
    <oc r="AO58" t="inlineStr">
      <is>
        <t>490,</t>
      </is>
    </oc>
    <nc r="AO58"/>
  </rcc>
  <rcc rId="931" sId="4">
    <oc r="AP58" t="inlineStr">
      <is>
        <t>494,</t>
      </is>
    </oc>
    <nc r="AP58"/>
  </rcc>
  <rcc rId="932" sId="4">
    <oc r="AQ58" t="inlineStr">
      <is>
        <t>495,</t>
      </is>
    </oc>
    <nc r="AQ58"/>
  </rcc>
  <rcc rId="933" sId="4">
    <oc r="AR58" t="inlineStr">
      <is>
        <t>496,</t>
      </is>
    </oc>
    <nc r="AR58"/>
  </rcc>
  <rcc rId="934" sId="4">
    <oc r="AS58" t="inlineStr">
      <is>
        <t>522,</t>
      </is>
    </oc>
    <nc r="AS58"/>
  </rcc>
  <rcc rId="935" sId="4">
    <oc r="AT58" t="inlineStr">
      <is>
        <t>541,</t>
      </is>
    </oc>
    <nc r="AT58"/>
  </rcc>
  <rcc rId="936" sId="4">
    <oc r="AU58" t="inlineStr">
      <is>
        <t>545,</t>
      </is>
    </oc>
    <nc r="AU58"/>
  </rcc>
  <rcc rId="937" sId="4">
    <oc r="AV58" t="inlineStr">
      <is>
        <t>581,</t>
      </is>
    </oc>
    <nc r="AV58"/>
  </rcc>
  <rcc rId="938" sId="4">
    <oc r="AW58" t="inlineStr">
      <is>
        <t>587,</t>
      </is>
    </oc>
    <nc r="AW58"/>
  </rcc>
  <rcc rId="939" sId="4">
    <oc r="AX58" t="inlineStr">
      <is>
        <t>595,</t>
      </is>
    </oc>
    <nc r="AX58"/>
  </rcc>
  <rcc rId="940" sId="4">
    <oc r="AY58" t="inlineStr">
      <is>
        <t>599,</t>
      </is>
    </oc>
    <nc r="AY58"/>
  </rcc>
  <rcc rId="941" sId="4">
    <oc r="AZ58" t="inlineStr">
      <is>
        <t>603,</t>
      </is>
    </oc>
    <nc r="AZ58"/>
  </rcc>
  <rcc rId="942" sId="4">
    <oc r="BA58" t="inlineStr">
      <is>
        <t>664,</t>
      </is>
    </oc>
    <nc r="BA58"/>
  </rcc>
  <rcc rId="943" sId="4">
    <oc r="BB58" t="inlineStr">
      <is>
        <t>665,</t>
      </is>
    </oc>
    <nc r="BB58"/>
  </rcc>
  <rcc rId="944" sId="4">
    <oc r="BC58" t="inlineStr">
      <is>
        <t>667,</t>
      </is>
    </oc>
    <nc r="BC58"/>
  </rcc>
  <rcc rId="945" sId="4">
    <oc r="BD58" t="inlineStr">
      <is>
        <t>676,</t>
      </is>
    </oc>
    <nc r="BD58"/>
  </rcc>
  <rcc rId="946" sId="4">
    <oc r="BE58" t="inlineStr">
      <is>
        <t>684,</t>
      </is>
    </oc>
    <nc r="BE58"/>
  </rcc>
  <rcc rId="947" sId="4">
    <oc r="BF58" t="inlineStr">
      <is>
        <t>696,</t>
      </is>
    </oc>
    <nc r="BF58"/>
  </rcc>
  <rcc rId="948" sId="4">
    <oc r="BG58" t="inlineStr">
      <is>
        <t>700,</t>
      </is>
    </oc>
    <nc r="BG58"/>
  </rcc>
  <rcc rId="949" sId="4">
    <oc r="BH58" t="inlineStr">
      <is>
        <t>731,</t>
      </is>
    </oc>
    <nc r="BH58"/>
  </rcc>
  <rcc rId="950" sId="4">
    <oc r="BI58" t="inlineStr">
      <is>
        <t>749,</t>
      </is>
    </oc>
    <nc r="BI58"/>
  </rcc>
  <rcc rId="951" sId="4">
    <oc r="BJ58" t="inlineStr">
      <is>
        <t>757,</t>
      </is>
    </oc>
    <nc r="BJ58"/>
  </rcc>
  <rcc rId="952" sId="4">
    <oc r="BK58" t="inlineStr">
      <is>
        <t>758,</t>
      </is>
    </oc>
    <nc r="BK58"/>
  </rcc>
  <rcc rId="953" sId="4">
    <oc r="BL58" t="inlineStr">
      <is>
        <t>772,</t>
      </is>
    </oc>
    <nc r="BL58"/>
  </rcc>
  <rcc rId="954" sId="4">
    <oc r="BM58" t="inlineStr">
      <is>
        <t>794,</t>
      </is>
    </oc>
    <nc r="BM58"/>
  </rcc>
  <rcc rId="955" sId="4">
    <oc r="BN58" t="inlineStr">
      <is>
        <t>799,</t>
      </is>
    </oc>
    <nc r="BN58"/>
  </rcc>
  <rcc rId="956" sId="4">
    <oc r="BO58" t="inlineStr">
      <is>
        <t>801,</t>
      </is>
    </oc>
    <nc r="BO58"/>
  </rcc>
  <rcc rId="957" sId="4">
    <oc r="BP58" t="inlineStr">
      <is>
        <t>803,</t>
      </is>
    </oc>
    <nc r="BP58"/>
  </rcc>
  <rcc rId="958" sId="4">
    <oc r="BQ58" t="inlineStr">
      <is>
        <t>805,</t>
      </is>
    </oc>
    <nc r="BQ58"/>
  </rcc>
  <rcc rId="959" sId="4">
    <oc r="BR58" t="inlineStr">
      <is>
        <t>814,</t>
      </is>
    </oc>
    <nc r="BR58"/>
  </rcc>
  <rcc rId="960" sId="4">
    <oc r="BS58" t="inlineStr">
      <is>
        <t>819,</t>
      </is>
    </oc>
    <nc r="BS58"/>
  </rcc>
  <rcc rId="961" sId="4">
    <oc r="BT58" t="inlineStr">
      <is>
        <t>829,</t>
      </is>
    </oc>
    <nc r="BT58"/>
  </rcc>
  <rcc rId="962" sId="4">
    <oc r="BU58" t="inlineStr">
      <is>
        <t>830,</t>
      </is>
    </oc>
    <nc r="BU58"/>
  </rcc>
  <rcc rId="963" sId="4">
    <oc r="BV58" t="inlineStr">
      <is>
        <t>833,</t>
      </is>
    </oc>
    <nc r="BV58"/>
  </rcc>
  <rcc rId="964" sId="4">
    <oc r="BW58" t="inlineStr">
      <is>
        <t>834,</t>
      </is>
    </oc>
    <nc r="BW58"/>
  </rcc>
  <rcc rId="965" sId="4">
    <oc r="BX58" t="inlineStr">
      <is>
        <t>836,</t>
      </is>
    </oc>
    <nc r="BX58"/>
  </rcc>
  <rcc rId="966" sId="4">
    <oc r="BY58" t="inlineStr">
      <is>
        <t>837,</t>
      </is>
    </oc>
    <nc r="BY58"/>
  </rcc>
  <rcc rId="967" sId="4">
    <oc r="BZ58" t="inlineStr">
      <is>
        <t>845,</t>
      </is>
    </oc>
    <nc r="BZ58"/>
  </rcc>
  <rcc rId="968" sId="4">
    <oc r="CA58" t="inlineStr">
      <is>
        <t>851,</t>
      </is>
    </oc>
    <nc r="CA58"/>
  </rcc>
  <rcc rId="969" sId="4">
    <oc r="CB58" t="inlineStr">
      <is>
        <t>854,</t>
      </is>
    </oc>
    <nc r="CB58"/>
  </rcc>
  <rcc rId="970" sId="4">
    <oc r="CC58" t="inlineStr">
      <is>
        <t>860,</t>
      </is>
    </oc>
    <nc r="CC58"/>
  </rcc>
  <rcc rId="971" sId="4">
    <oc r="CD58" t="inlineStr">
      <is>
        <t>863,</t>
      </is>
    </oc>
    <nc r="CD58"/>
  </rcc>
  <rcc rId="972" sId="4">
    <oc r="CE58" t="inlineStr">
      <is>
        <t>869,</t>
      </is>
    </oc>
    <nc r="CE58"/>
  </rcc>
  <rcc rId="973" sId="4">
    <oc r="CF58" t="inlineStr">
      <is>
        <t>879,</t>
      </is>
    </oc>
    <nc r="CF58"/>
  </rcc>
  <rcc rId="974" sId="4">
    <oc r="CG58" t="inlineStr">
      <is>
        <t>896,</t>
      </is>
    </oc>
    <nc r="CG58"/>
  </rcc>
  <rcc rId="975" sId="4">
    <oc r="CH58" t="inlineStr">
      <is>
        <t>904,</t>
      </is>
    </oc>
    <nc r="CH58"/>
  </rcc>
  <rcc rId="976" sId="4">
    <oc r="CI58" t="inlineStr">
      <is>
        <t>1012,</t>
      </is>
    </oc>
    <nc r="CI58"/>
  </rcc>
  <rcc rId="977" sId="4">
    <oc r="CJ58" t="inlineStr">
      <is>
        <t>1054,</t>
      </is>
    </oc>
    <nc r="CJ58"/>
  </rcc>
  <rcc rId="978" sId="4">
    <oc r="CK58" t="inlineStr">
      <is>
        <t>1077,</t>
      </is>
    </oc>
    <nc r="CK58"/>
  </rcc>
  <rcc rId="979" sId="4">
    <oc r="CL58" t="inlineStr">
      <is>
        <t>1081,</t>
      </is>
    </oc>
    <nc r="CL58"/>
  </rcc>
  <rcc rId="980" sId="4">
    <oc r="B59">
      <v>757</v>
    </oc>
    <nc r="B59"/>
  </rcc>
  <rcc rId="981" sId="4">
    <oc r="C59" t="inlineStr">
      <is>
        <t>,</t>
      </is>
    </oc>
    <nc r="C59"/>
  </rcc>
  <rcc rId="982" sId="4">
    <oc r="D59">
      <f>CONCATENATE(B59,C59)</f>
    </oc>
    <nc r="D59"/>
  </rcc>
  <rcc rId="983" sId="4">
    <oc r="B60">
      <v>758</v>
    </oc>
    <nc r="B60"/>
  </rcc>
  <rcc rId="984" sId="4">
    <oc r="C60" t="inlineStr">
      <is>
        <t>,</t>
      </is>
    </oc>
    <nc r="C60"/>
  </rcc>
  <rcc rId="985" sId="4">
    <oc r="D60">
      <f>CONCATENATE(B60,C60)</f>
    </oc>
    <nc r="D60"/>
  </rcc>
  <rcc rId="986" sId="4">
    <oc r="B61">
      <v>772</v>
    </oc>
    <nc r="B61"/>
  </rcc>
  <rcc rId="987" sId="4">
    <oc r="C61" t="inlineStr">
      <is>
        <t>,</t>
      </is>
    </oc>
    <nc r="C61"/>
  </rcc>
  <rcc rId="988" sId="4">
    <oc r="D61">
      <f>CONCATENATE(B61,C61)</f>
    </oc>
    <nc r="D61"/>
  </rcc>
  <rcc rId="989" sId="4">
    <oc r="B62">
      <v>794</v>
    </oc>
    <nc r="B62"/>
  </rcc>
  <rcc rId="990" sId="4">
    <oc r="C62" t="inlineStr">
      <is>
        <t>,</t>
      </is>
    </oc>
    <nc r="C62"/>
  </rcc>
  <rcc rId="991" sId="4">
    <oc r="D62">
      <f>CONCATENATE(B62,C62)</f>
    </oc>
    <nc r="D62"/>
  </rcc>
  <rcc rId="992" sId="4">
    <oc r="B63">
      <v>799</v>
    </oc>
    <nc r="B63"/>
  </rcc>
  <rcc rId="993" sId="4">
    <oc r="C63" t="inlineStr">
      <is>
        <t>,</t>
      </is>
    </oc>
    <nc r="C63"/>
  </rcc>
  <rcc rId="994" sId="4">
    <oc r="D63">
      <f>CONCATENATE(B63,C63)</f>
    </oc>
    <nc r="D63"/>
  </rcc>
  <rcc rId="995" sId="4">
    <oc r="B64">
      <v>801</v>
    </oc>
    <nc r="B64"/>
  </rcc>
  <rcc rId="996" sId="4">
    <oc r="C64" t="inlineStr">
      <is>
        <t>,</t>
      </is>
    </oc>
    <nc r="C64"/>
  </rcc>
  <rcc rId="997" sId="4">
    <oc r="D64">
      <f>CONCATENATE(B64,C64)</f>
    </oc>
    <nc r="D64"/>
  </rcc>
  <rcc rId="998" sId="4">
    <oc r="B65">
      <v>803</v>
    </oc>
    <nc r="B65"/>
  </rcc>
  <rcc rId="999" sId="4">
    <oc r="C65" t="inlineStr">
      <is>
        <t>,</t>
      </is>
    </oc>
    <nc r="C65"/>
  </rcc>
  <rcc rId="1000" sId="4">
    <oc r="D65">
      <f>CONCATENATE(B65,C65)</f>
    </oc>
    <nc r="D65"/>
  </rcc>
  <rcc rId="1001" sId="4">
    <oc r="B66">
      <v>805</v>
    </oc>
    <nc r="B66"/>
  </rcc>
  <rcc rId="1002" sId="4">
    <oc r="C66" t="inlineStr">
      <is>
        <t>,</t>
      </is>
    </oc>
    <nc r="C66"/>
  </rcc>
  <rcc rId="1003" sId="4">
    <oc r="D66">
      <f>CONCATENATE(B66,C66)</f>
    </oc>
    <nc r="D66"/>
  </rcc>
  <rcc rId="1004" sId="4">
    <oc r="B67">
      <v>814</v>
    </oc>
    <nc r="B67"/>
  </rcc>
  <rcc rId="1005" sId="4">
    <oc r="C67" t="inlineStr">
      <is>
        <t>,</t>
      </is>
    </oc>
    <nc r="C67"/>
  </rcc>
  <rcc rId="1006" sId="4">
    <oc r="D67">
      <f>CONCATENATE(B67,C67)</f>
    </oc>
    <nc r="D67"/>
  </rcc>
  <rcc rId="1007" sId="4">
    <oc r="B68">
      <v>819</v>
    </oc>
    <nc r="B68"/>
  </rcc>
  <rcc rId="1008" sId="4">
    <oc r="C68" t="inlineStr">
      <is>
        <t>,</t>
      </is>
    </oc>
    <nc r="C68"/>
  </rcc>
  <rcc rId="1009" sId="4">
    <oc r="D68">
      <f>CONCATENATE(B68,C68)</f>
    </oc>
    <nc r="D68"/>
  </rcc>
  <rcc rId="1010" sId="4">
    <oc r="B69">
      <v>829</v>
    </oc>
    <nc r="B69"/>
  </rcc>
  <rcc rId="1011" sId="4">
    <oc r="C69" t="inlineStr">
      <is>
        <t>,</t>
      </is>
    </oc>
    <nc r="C69"/>
  </rcc>
  <rcc rId="1012" sId="4">
    <oc r="D69">
      <f>CONCATENATE(B69,C69)</f>
    </oc>
    <nc r="D69"/>
  </rcc>
  <rcc rId="1013" sId="4">
    <oc r="B70">
      <v>830</v>
    </oc>
    <nc r="B70"/>
  </rcc>
  <rcc rId="1014" sId="4">
    <oc r="C70" t="inlineStr">
      <is>
        <t>,</t>
      </is>
    </oc>
    <nc r="C70"/>
  </rcc>
  <rcc rId="1015" sId="4">
    <oc r="D70">
      <f>CONCATENATE(B70,C70)</f>
    </oc>
    <nc r="D70"/>
  </rcc>
  <rcc rId="1016" sId="4">
    <oc r="B71">
      <v>833</v>
    </oc>
    <nc r="B71"/>
  </rcc>
  <rcc rId="1017" sId="4">
    <oc r="C71" t="inlineStr">
      <is>
        <t>,</t>
      </is>
    </oc>
    <nc r="C71"/>
  </rcc>
  <rcc rId="1018" sId="4">
    <oc r="D71">
      <f>CONCATENATE(B71,C71)</f>
    </oc>
    <nc r="D71"/>
  </rcc>
  <rcc rId="1019" sId="4">
    <oc r="B72">
      <v>834</v>
    </oc>
    <nc r="B72"/>
  </rcc>
  <rcc rId="1020" sId="4">
    <oc r="C72" t="inlineStr">
      <is>
        <t>,</t>
      </is>
    </oc>
    <nc r="C72"/>
  </rcc>
  <rcc rId="1021" sId="4">
    <oc r="D72">
      <f>CONCATENATE(B72,C72)</f>
    </oc>
    <nc r="D72"/>
  </rcc>
  <rcc rId="1022" sId="4">
    <oc r="B73">
      <v>836</v>
    </oc>
    <nc r="B73"/>
  </rcc>
  <rcc rId="1023" sId="4">
    <oc r="C73" t="inlineStr">
      <is>
        <t>,</t>
      </is>
    </oc>
    <nc r="C73"/>
  </rcc>
  <rcc rId="1024" sId="4">
    <oc r="D73">
      <f>CONCATENATE(B73,C73)</f>
    </oc>
    <nc r="D73"/>
  </rcc>
  <rcc rId="1025" sId="4">
    <oc r="B74">
      <v>837</v>
    </oc>
    <nc r="B74"/>
  </rcc>
  <rcc rId="1026" sId="4">
    <oc r="C74" t="inlineStr">
      <is>
        <t>,</t>
      </is>
    </oc>
    <nc r="C74"/>
  </rcc>
  <rcc rId="1027" sId="4">
    <oc r="D74">
      <f>CONCATENATE(B74,C74)</f>
    </oc>
    <nc r="D74"/>
  </rcc>
  <rcc rId="1028" sId="4">
    <oc r="B75">
      <v>845</v>
    </oc>
    <nc r="B75"/>
  </rcc>
  <rcc rId="1029" sId="4">
    <oc r="C75" t="inlineStr">
      <is>
        <t>,</t>
      </is>
    </oc>
    <nc r="C75"/>
  </rcc>
  <rcc rId="1030" sId="4">
    <oc r="D75">
      <f>CONCATENATE(B75,C75)</f>
    </oc>
    <nc r="D75"/>
  </rcc>
  <rcc rId="1031" sId="4">
    <oc r="B76">
      <v>851</v>
    </oc>
    <nc r="B76"/>
  </rcc>
  <rcc rId="1032" sId="4">
    <oc r="C76" t="inlineStr">
      <is>
        <t>,</t>
      </is>
    </oc>
    <nc r="C76"/>
  </rcc>
  <rcc rId="1033" sId="4">
    <oc r="D76">
      <f>CONCATENATE(B76,C76)</f>
    </oc>
    <nc r="D76"/>
  </rcc>
  <rcc rId="1034" sId="4">
    <oc r="B77">
      <v>854</v>
    </oc>
    <nc r="B77"/>
  </rcc>
  <rcc rId="1035" sId="4">
    <oc r="C77" t="inlineStr">
      <is>
        <t>,</t>
      </is>
    </oc>
    <nc r="C77"/>
  </rcc>
  <rcc rId="1036" sId="4">
    <oc r="D77">
      <f>CONCATENATE(B77,C77)</f>
    </oc>
    <nc r="D77"/>
  </rcc>
  <rcc rId="1037" sId="4">
    <oc r="B78">
      <v>860</v>
    </oc>
    <nc r="B78"/>
  </rcc>
  <rcc rId="1038" sId="4">
    <oc r="C78" t="inlineStr">
      <is>
        <t>,</t>
      </is>
    </oc>
    <nc r="C78"/>
  </rcc>
  <rcc rId="1039" sId="4">
    <oc r="D78">
      <f>CONCATENATE(B78,C78)</f>
    </oc>
    <nc r="D78"/>
  </rcc>
  <rcc rId="1040" sId="4">
    <oc r="B79">
      <v>863</v>
    </oc>
    <nc r="B79"/>
  </rcc>
  <rcc rId="1041" sId="4">
    <oc r="C79" t="inlineStr">
      <is>
        <t>,</t>
      </is>
    </oc>
    <nc r="C79"/>
  </rcc>
  <rcc rId="1042" sId="4">
    <oc r="D79">
      <f>CONCATENATE(B79,C79)</f>
    </oc>
    <nc r="D79"/>
  </rcc>
  <rcc rId="1043" sId="4">
    <oc r="B80">
      <v>869</v>
    </oc>
    <nc r="B80"/>
  </rcc>
  <rcc rId="1044" sId="4">
    <oc r="C80" t="inlineStr">
      <is>
        <t>,</t>
      </is>
    </oc>
    <nc r="C80"/>
  </rcc>
  <rcc rId="1045" sId="4">
    <oc r="D80">
      <f>CONCATENATE(B80,C80)</f>
    </oc>
    <nc r="D80"/>
  </rcc>
  <rcc rId="1046" sId="4">
    <oc r="B81">
      <v>879</v>
    </oc>
    <nc r="B81"/>
  </rcc>
  <rcc rId="1047" sId="4">
    <oc r="C81" t="inlineStr">
      <is>
        <t>,</t>
      </is>
    </oc>
    <nc r="C81"/>
  </rcc>
  <rcc rId="1048" sId="4">
    <oc r="D81">
      <f>CONCATENATE(B81,C81)</f>
    </oc>
    <nc r="D81"/>
  </rcc>
  <rcc rId="1049" sId="4">
    <oc r="B82">
      <v>896</v>
    </oc>
    <nc r="B82"/>
  </rcc>
  <rcc rId="1050" sId="4">
    <oc r="C82" t="inlineStr">
      <is>
        <t>,</t>
      </is>
    </oc>
    <nc r="C82"/>
  </rcc>
  <rcc rId="1051" sId="4">
    <oc r="D82">
      <f>CONCATENATE(B82,C82)</f>
    </oc>
    <nc r="D82"/>
  </rcc>
  <rcc rId="1052" sId="4">
    <oc r="B83">
      <v>904</v>
    </oc>
    <nc r="B83"/>
  </rcc>
  <rcc rId="1053" sId="4">
    <oc r="C83" t="inlineStr">
      <is>
        <t>,</t>
      </is>
    </oc>
    <nc r="C83"/>
  </rcc>
  <rcc rId="1054" sId="4">
    <oc r="D83">
      <f>CONCATENATE(B83,C83)</f>
    </oc>
    <nc r="D83"/>
  </rcc>
  <rcc rId="1055" sId="4">
    <oc r="B84">
      <v>1012</v>
    </oc>
    <nc r="B84"/>
  </rcc>
  <rcc rId="1056" sId="4">
    <oc r="C84" t="inlineStr">
      <is>
        <t>,</t>
      </is>
    </oc>
    <nc r="C84"/>
  </rcc>
  <rcc rId="1057" sId="4">
    <oc r="D84">
      <f>CONCATENATE(B84,C84)</f>
    </oc>
    <nc r="D84"/>
  </rcc>
  <rcc rId="1058" sId="4">
    <oc r="B85">
      <v>1054</v>
    </oc>
    <nc r="B85"/>
  </rcc>
  <rcc rId="1059" sId="4">
    <oc r="C85" t="inlineStr">
      <is>
        <t>,</t>
      </is>
    </oc>
    <nc r="C85"/>
  </rcc>
  <rcc rId="1060" sId="4">
    <oc r="D85">
      <f>CONCATENATE(B85,C85)</f>
    </oc>
    <nc r="D85"/>
  </rcc>
  <rcc rId="1061" sId="4">
    <oc r="B86">
      <v>1077</v>
    </oc>
    <nc r="B86"/>
  </rcc>
  <rcc rId="1062" sId="4">
    <oc r="C86" t="inlineStr">
      <is>
        <t>,</t>
      </is>
    </oc>
    <nc r="C86"/>
  </rcc>
  <rcc rId="1063" sId="4">
    <oc r="D86">
      <f>CONCATENATE(B86,C86)</f>
    </oc>
    <nc r="D86"/>
  </rcc>
  <rcc rId="1064" sId="4">
    <oc r="B87">
      <v>1081</v>
    </oc>
    <nc r="B87"/>
  </rcc>
  <rcc rId="1065" sId="4">
    <oc r="C87" t="inlineStr">
      <is>
        <t>,</t>
      </is>
    </oc>
    <nc r="C87"/>
  </rcc>
  <rcc rId="1066" sId="4">
    <oc r="D87">
      <f>CONCATENATE(B87,C87)</f>
    </oc>
    <nc r="D87"/>
  </rcc>
  <rcc rId="1067" sId="4">
    <nc r="A3">
      <v>86.56</v>
    </nc>
  </rcc>
  <rcc rId="1068" sId="4">
    <nc r="A4">
      <v>377.7</v>
    </nc>
  </rcc>
  <rcc rId="1069" sId="4">
    <nc r="A5">
      <v>218.55</v>
    </nc>
  </rcc>
  <rcc rId="1070" sId="4">
    <nc r="A6">
      <v>79.27</v>
    </nc>
  </rcc>
  <rfmt sheetId="4" sqref="A6">
    <dxf>
      <border diagonalUp="0" diagonalDown="0" outline="0">
        <left/>
        <right/>
        <top/>
        <bottom/>
      </border>
    </dxf>
  </rfmt>
  <rcc rId="1071" sId="4">
    <nc r="A7">
      <v>231.76</v>
    </nc>
  </rcc>
  <rfmt sheetId="4" sqref="A7">
    <dxf>
      <fill>
        <patternFill patternType="none">
          <fgColor indexed="64"/>
          <bgColor indexed="65"/>
        </patternFill>
      </fill>
      <border diagonalUp="0" diagonalDown="0" outline="0">
        <left/>
        <right/>
        <top/>
        <bottom/>
      </border>
    </dxf>
  </rfmt>
  <rcc rId="1072" sId="4">
    <nc r="A8">
      <v>79.27</v>
    </nc>
  </rcc>
  <rfmt sheetId="4" sqref="A8">
    <dxf>
      <fill>
        <patternFill patternType="none">
          <fgColor indexed="64"/>
          <bgColor indexed="65"/>
        </patternFill>
      </fill>
      <border diagonalUp="0" diagonalDown="0" outline="0">
        <left/>
        <right/>
        <top/>
        <bottom/>
      </border>
    </dxf>
  </rfmt>
  <rcc rId="1073" sId="4">
    <nc r="A9">
      <v>62.44</v>
    </nc>
  </rcc>
  <rfmt sheetId="4" sqref="A9">
    <dxf>
      <fill>
        <patternFill patternType="none">
          <fgColor indexed="64"/>
          <bgColor indexed="65"/>
        </patternFill>
      </fill>
      <border diagonalUp="0" diagonalDown="0" outline="0">
        <left/>
        <right/>
        <top/>
        <bottom/>
      </border>
    </dxf>
  </rfmt>
  <rcc rId="1074" sId="4">
    <nc r="A10">
      <v>69.45</v>
    </nc>
  </rcc>
  <rfmt sheetId="4" sqref="A10">
    <dxf>
      <fill>
        <patternFill patternType="none">
          <fgColor indexed="64"/>
          <bgColor indexed="65"/>
        </patternFill>
      </fill>
      <border diagonalUp="0" diagonalDown="0" outline="0">
        <left/>
        <right/>
        <top/>
        <bottom/>
      </border>
    </dxf>
  </rfmt>
  <rcc rId="1075" sId="4">
    <nc r="A11">
      <v>69.45</v>
    </nc>
  </rcc>
  <rfmt sheetId="4" sqref="A11">
    <dxf>
      <fill>
        <patternFill patternType="none">
          <fgColor indexed="64"/>
          <bgColor indexed="65"/>
        </patternFill>
      </fill>
      <border diagonalUp="0" diagonalDown="0" outline="0">
        <left/>
        <right/>
        <top/>
        <bottom/>
      </border>
    </dxf>
  </rfmt>
  <rcc rId="1076" sId="4">
    <nc r="A12">
      <v>69.45</v>
    </nc>
  </rcc>
  <rfmt sheetId="4" sqref="A12">
    <dxf>
      <fill>
        <patternFill patternType="none">
          <fgColor indexed="64"/>
          <bgColor indexed="65"/>
        </patternFill>
      </fill>
      <border diagonalUp="0" diagonalDown="0" outline="0">
        <left/>
        <right/>
        <top/>
        <bottom/>
      </border>
    </dxf>
  </rfmt>
  <rcc rId="1077" sId="4">
    <nc r="A13">
      <v>69.45</v>
    </nc>
  </rcc>
  <rfmt sheetId="4" sqref="A13">
    <dxf>
      <fill>
        <patternFill patternType="none">
          <fgColor indexed="64"/>
          <bgColor indexed="65"/>
        </patternFill>
      </fill>
      <border diagonalUp="0" diagonalDown="0" outline="0">
        <left/>
        <right/>
        <top/>
        <bottom/>
      </border>
    </dxf>
  </rfmt>
  <rcc rId="1078" sId="4">
    <nc r="A14">
      <v>62.45</v>
    </nc>
  </rcc>
  <rfmt sheetId="4" sqref="A14">
    <dxf>
      <fill>
        <patternFill patternType="none">
          <fgColor indexed="64"/>
          <bgColor indexed="65"/>
        </patternFill>
      </fill>
      <border diagonalUp="0" diagonalDown="0" outline="0">
        <left/>
        <right/>
        <top/>
        <bottom/>
      </border>
    </dxf>
  </rfmt>
  <rcc rId="1079" sId="4">
    <nc r="A15">
      <v>62.45</v>
    </nc>
  </rcc>
  <rfmt sheetId="4" sqref="A15">
    <dxf>
      <fill>
        <patternFill patternType="none">
          <fgColor indexed="64"/>
          <bgColor indexed="65"/>
        </patternFill>
      </fill>
      <border diagonalUp="0" diagonalDown="0" outline="0">
        <left/>
        <right/>
        <top/>
        <bottom/>
      </border>
    </dxf>
  </rfmt>
  <rcc rId="1080" sId="4">
    <nc r="A16">
      <v>79.27</v>
    </nc>
  </rcc>
  <rfmt sheetId="4" sqref="A16">
    <dxf>
      <fill>
        <patternFill patternType="none">
          <fgColor indexed="64"/>
          <bgColor indexed="65"/>
        </patternFill>
      </fill>
      <border diagonalUp="0" diagonalDown="0" outline="0">
        <left/>
        <right/>
        <top/>
        <bottom/>
      </border>
    </dxf>
  </rfmt>
  <rcc rId="1081" sId="4">
    <nc r="A17">
      <v>69.45</v>
    </nc>
  </rcc>
  <rfmt sheetId="4" sqref="A17">
    <dxf>
      <fill>
        <patternFill patternType="none">
          <fgColor indexed="64"/>
          <bgColor indexed="65"/>
        </patternFill>
      </fill>
      <border diagonalUp="0" diagonalDown="0" outline="0">
        <left/>
        <right/>
        <top/>
        <bottom/>
      </border>
    </dxf>
  </rfmt>
  <rcc rId="1082" sId="4">
    <nc r="A18">
      <v>438.92</v>
    </nc>
  </rcc>
  <rfmt sheetId="4" sqref="A18">
    <dxf>
      <fill>
        <patternFill patternType="none">
          <fgColor indexed="64"/>
          <bgColor indexed="65"/>
        </patternFill>
      </fill>
      <border diagonalUp="0" diagonalDown="0" outline="0">
        <left/>
        <right/>
        <top/>
        <bottom/>
      </border>
    </dxf>
  </rfmt>
  <rcc rId="1083" sId="4">
    <nc r="A19">
      <v>305.68</v>
    </nc>
  </rcc>
  <rfmt sheetId="4" sqref="A19">
    <dxf>
      <fill>
        <patternFill patternType="none">
          <fgColor indexed="64"/>
          <bgColor indexed="65"/>
        </patternFill>
      </fill>
      <border diagonalUp="0" diagonalDown="0" outline="0">
        <left/>
        <right/>
        <top/>
        <bottom/>
      </border>
    </dxf>
  </rfmt>
  <rcc rId="1084" sId="4">
    <nc r="A20">
      <v>69.45</v>
    </nc>
  </rcc>
  <rfmt sheetId="4" sqref="A20">
    <dxf>
      <fill>
        <patternFill patternType="none">
          <fgColor indexed="64"/>
          <bgColor indexed="65"/>
        </patternFill>
      </fill>
      <border diagonalUp="0" diagonalDown="0" outline="0">
        <left/>
        <right/>
        <top/>
        <bottom/>
      </border>
    </dxf>
  </rfmt>
  <rcc rId="1085" sId="4">
    <nc r="A21">
      <v>62.44</v>
    </nc>
  </rcc>
  <rfmt sheetId="4" sqref="A21">
    <dxf>
      <fill>
        <patternFill patternType="none">
          <fgColor indexed="64"/>
          <bgColor indexed="65"/>
        </patternFill>
      </fill>
      <border diagonalUp="0" diagonalDown="0" outline="0">
        <left/>
        <right/>
        <top/>
        <bottom/>
      </border>
    </dxf>
  </rfmt>
  <rcc rId="1086" sId="4">
    <nc r="A22">
      <v>204.06</v>
    </nc>
  </rcc>
  <rfmt sheetId="4" sqref="A22">
    <dxf>
      <fill>
        <patternFill patternType="none">
          <fgColor indexed="64"/>
          <bgColor indexed="65"/>
        </patternFill>
      </fill>
      <border diagonalUp="0" diagonalDown="0" outline="0">
        <left/>
        <right/>
        <top/>
        <bottom/>
      </border>
    </dxf>
  </rfmt>
  <rcc rId="1087" sId="4">
    <nc r="A23">
      <v>549.5</v>
    </nc>
  </rcc>
  <rfmt sheetId="4" sqref="A23">
    <dxf>
      <fill>
        <patternFill patternType="none">
          <fgColor indexed="64"/>
          <bgColor indexed="65"/>
        </patternFill>
      </fill>
      <border diagonalUp="0" diagonalDown="0" outline="0">
        <left/>
        <right/>
        <top/>
        <bottom/>
      </border>
    </dxf>
  </rfmt>
  <rcc rId="1088" sId="4">
    <nc r="A24">
      <f>SUM(A3:A23)</f>
    </nc>
  </rcc>
  <rrc rId="1089" sId="4" ref="A23:XFD23" action="insertRow"/>
  <rcc rId="1090" sId="4">
    <nc r="A23">
      <v>56.64</v>
    </nc>
  </rcc>
  <rfmt sheetId="4" sqref="A23">
    <dxf>
      <fill>
        <patternFill patternType="none">
          <fgColor indexed="64"/>
          <bgColor indexed="65"/>
        </patternFill>
      </fill>
      <border diagonalUp="0" diagonalDown="0" outline="0">
        <left/>
        <right/>
        <top/>
        <bottom/>
      </border>
    </dxf>
  </rfmt>
  <rrc rId="1091" sId="4" ref="A24:XFD24" action="insertRow"/>
  <rcc rId="1092" sId="4">
    <nc r="A24">
      <v>62.45</v>
    </nc>
  </rcc>
  <rfmt sheetId="4" sqref="A24:XFD24">
    <dxf>
      <fill>
        <patternFill patternType="none">
          <fgColor indexed="64"/>
          <bgColor indexed="65"/>
        </patternFill>
      </fill>
      <border diagonalUp="0" diagonalDown="0" outline="0">
        <left/>
        <right/>
        <top/>
        <bottom/>
      </border>
    </dxf>
  </rfmt>
  <rrc rId="1093" sId="4" ref="A24:XFD24" action="insertRow"/>
  <rcc rId="1094" sId="4">
    <nc r="A24">
      <v>69.45</v>
    </nc>
  </rcc>
  <rfmt sheetId="4" sqref="A24">
    <dxf>
      <fill>
        <patternFill patternType="none">
          <fgColor indexed="64"/>
          <bgColor indexed="65"/>
        </patternFill>
      </fill>
      <border diagonalUp="0" diagonalDown="0" outline="0">
        <left/>
        <right/>
        <top/>
        <bottom/>
      </border>
    </dxf>
  </rfmt>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5" sId="2">
    <oc r="C319" t="inlineStr">
      <is>
        <t>Todos tem valetransporte seg a sab login:29936178000120 senha 12345 tem adiantamento ( As funcionarias Ana Carolina e Gabriela vt de seg a sexta) o Restante de seg a sab.</t>
      </is>
    </oc>
    <nc r="C319" t="inlineStr">
      <is>
        <r>
          <t>Todos tem valetransporte seg a sab login:29936178000120 senha 12345 tem adiantamento ( As funcionarias Ana Carolina e Gabriela vt de seg a sexta) o Restante de seg a sab.</t>
        </r>
        <r>
          <rPr>
            <sz val="10"/>
            <color rgb="FFFF0000"/>
            <rFont val="Trebuchet MS"/>
            <family val="2"/>
          </rPr>
          <t>O FUNC. DOUGLAS ESTA COM SALÁRIO MENOR POIS ESTA FAZENDO HORÁRIO MENOR O MSM ESTA CIENTE QUE DIMINUIR O SALÁRIO É ERRADO E FEZ UMA CARTA DE PROPRIO PUNHO.</t>
        </r>
      </is>
    </nc>
  </rcc>
  <rcv guid="{DFB7C661-5C1D-4491-B5BB-D24125818F62}" action="delete"/>
  <rdn rId="0" localSheetId="1" customView="1" name="Z_DFB7C661_5C1D_4491_B5BB_D24125818F62_.wvu.Cols" hidden="1" oldHidden="1">
    <formula>'Controle Empresas'!$E:$E</formula>
    <oldFormula>'Controle Empresas'!$E:$E</oldFormula>
  </rdn>
  <rdn rId="0" localSheetId="1" customView="1" name="Z_DFB7C661_5C1D_4491_B5BB_D24125818F62_.wvu.FilterData" hidden="1" oldHidden="1">
    <formula>'Controle Empresas'!$A$1:$M$416</formula>
    <oldFormula>'Controle Empresas'!$A$1:$M$416</oldFormula>
  </rdn>
  <rcv guid="{DFB7C661-5C1D-4491-B5BB-D24125818F62}"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8" sId="2">
    <oc r="C320" t="inlineStr">
      <is>
        <t>Todos tem valetransporte seg a SEXTA  login: 29930464000189 senha suavjf  tem adiantamento</t>
      </is>
    </oc>
    <nc r="C320" t="inlineStr">
      <is>
        <r>
          <t>Todos tem valetransporte seg a SEXTA  login: 29930464000189 senha suavjf  tem adiantamento O FUNC.</t>
        </r>
        <r>
          <rPr>
            <sz val="10"/>
            <color rgb="FFFF0000"/>
            <rFont val="Trebuchet MS"/>
            <family val="2"/>
          </rPr>
          <t>O FUNC. DOUGLAS ESTA RECEBENDO SALÁRIO MENOR POR ISSO GANHA MENOS.</t>
        </r>
      </is>
    </nc>
  </rcc>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9" sId="2">
    <oc r="C320" t="inlineStr">
      <is>
        <r>
          <t>Todos tem valetransporte seg a SEXTA  login: 29930464000189 senha suavjf  tem adiantamento O FUNC.</t>
        </r>
        <r>
          <rPr>
            <sz val="10"/>
            <color rgb="FFFF0000"/>
            <rFont val="Trebuchet MS"/>
            <family val="2"/>
          </rPr>
          <t>O FUNC. DOUGLAS ESTA RECEBENDO SALÁRIO MENOR POR ISSO GANHA MENOS.</t>
        </r>
      </is>
    </oc>
    <nc r="C320" t="inlineStr">
      <is>
        <r>
          <t>Todos tem valetransporte seg a SEXTA  login: 29930464000189 senha suavjf  tem adiantamento O FUNC.</t>
        </r>
        <r>
          <rPr>
            <sz val="10"/>
            <color rgb="FFFF0000"/>
            <rFont val="Trebuchet MS"/>
            <family val="2"/>
          </rPr>
          <t>O FUNC. DOUGLAS ESTA RECEBENDO SALÁRIO MENOR POR ISSO GANHA MENOS.( A funcionaria Thamires fez uma carta solictando que não quer mais adiantamento).</t>
        </r>
      </is>
    </nc>
  </rcc>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 sId="2">
    <oc r="C256" t="inlineStr">
      <is>
        <t xml:space="preserve">Plano de saude é fixo Lucia e Joao 1.1131,91 cada por mes e Roberta 316,12 e Thales 188,98 verificar quando mudar anualmente pedir.
TODO MÊS PASSA OS EXTRAS EM PLANILHAS . PAGA SEMPRE NA SEXTA FEIRA , DIA 25 SEMPRE JÁ PEDIR O FECHAMENTO 
Funcionarios que tiverem Plano de Saúde AME é descontado 1,00 - Quando tiver exames especificar
Desconto de alimentação 1,00 para todos
TEM PENSAO ALIMENTICIA 15 % LIQUIDO (LUIZ PAULO ELIAS)(deduzindo  os descontos de Impostos, incidindo o 13º salario) TEM PENSÃO ALIMENTICIA IGOR RENAN 24%LIQUIDO(FERIAS,RESCISÃO,13º)
Fazer recarga de Vale transporte. Astransp login 16904245000183 senha 52170000(2vt para todos- 2ª a  6ª - Aristides,Igor Renan,Pedro Dias,Selma,Valmir,Carlos Roberto,Ramon e Gabriel, que esta afastado ate 16/01/2020 ainda permanece afastado esperando reposicionamento
Senha empregador web: Login: RODRICARLX  Senha: 51170000RO
 adiantamento toda sexta feria mandar junto com a folha de pagamento ,ADIANTAMENTO 40%           
Pagamento sempre Primeiro dia util , Pedir o fechamento do mês, descontos de farmacia, plano medico , faltas em dias e horas ,Adiantamento sempre dia 15 e 40 % sobre o salario base.   </t>
      </is>
    </oc>
    <nc r="C256" t="inlineStr">
      <is>
        <t xml:space="preserve">Plano de saude é fixo Lucia e Joao 1.1131,91 cada por mes e Roberta 316,12 e Thales 188,98 verificar quando mudar anualmente pedir.
TODO MÊS PASSA OS EXTRAS EM PLANILHAS . PAGA SEMPRE NA SEXTA FEIRA , DIA 25 SEMPRE JÁ PEDIR O FECHAMENTO 
Funcionarios que tiverem Plano de Saúde AME é descontado 1,00 - Quando tiver exames especificar
Desconto de alimentação 1,00 para todos
TEM PENSAO ALIMENTICIA 15 % LIQUIDO TEM PENSÃO ALIMENTICIA IGOR RENAN 24%LIQUIDO(FERIAS,RESCISÃO,13º)
Fazer recarga de Vale transporte. Astransp login 16904245000183 senha 52170000(2vt para todos- 2ª a  6ª - Aristides,Igor Renan,Pedro Dias,Selma,Valmir,Carlos Roberto,Ramon e Gabriel, que esta afastado ate 16/01/2020 ainda permanece afastado esperando reposicionamento
Senha empregador web: Login: RODRICARLX  Senha: 51170000RO
 adiantamento toda sexta feria mandar junto com a folha de pagamento ,ADIANTAMENTO 40%           
Pagamento sempre Primeiro dia util , Pedir o fechamento do mês, descontos de farmacia, plano medico , faltas em dias e horas ,Adiantamento sempre dia 15 e 40 % sobre o salario base.   </t>
      </is>
    </nc>
  </rcc>
  <rcv guid="{3BCABC4F-4072-4ED9-90CC-E9BE96773387}" action="delete"/>
  <rdn rId="0" localSheetId="1" customView="1" name="Z_3BCABC4F_4072_4ED9_90CC_E9BE96773387_.wvu.FilterData" hidden="1" oldHidden="1">
    <formula>'Controle Empresas'!$A$1:$M$416</formula>
    <oldFormula>'Controle Empresas'!$A$1:$M$416</oldFormula>
  </rdn>
  <rcv guid="{3BCABC4F-4072-4ED9-90CC-E9BE96773387}"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 sId="2">
    <oc r="C385" t="inlineStr">
      <is>
        <t>• PAGA-SE INSALUBRIDADE 20% DO SALÁRIO - VALOR INSS - FUNCIONARIO: 2,7% + INSS  DA FOLHA DE PAGAMENTO</t>
      </is>
    </oc>
    <nc r="C385" t="inlineStr">
      <is>
        <t xml:space="preserve">• PAGA-SE INSALUBRIDADE 20% DO SALÁRIO - VALOR INSS - FUNCIONARIO: 2,7% + INSS  DA FOLHA DE PAGAMENTO   /email para encaminhar a folha: operacional@arcongelar.com.br </t>
      </is>
    </nc>
  </rcc>
  <rcc rId="1103" sId="1">
    <oc r="L413" t="inlineStr">
      <is>
        <t xml:space="preserve">Folha e Pro labore (   )
INSS (   )
FGTS e GFIP (   )
Tem insalubridade. 
</t>
      </is>
    </oc>
    <nc r="L413" t="inlineStr">
      <is>
        <t xml:space="preserve">Folha e Pro labore (   )
INSS (   )
FGTS e GFIP (   )
Tem insalubridade. operacional@arcongelar.com.br 
</t>
      </is>
    </nc>
  </rcc>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4" sId="1">
    <oc r="L413" t="inlineStr">
      <is>
        <t xml:space="preserve">Folha e Pro labore (   )
INSS (   )
FGTS e GFIP (   )
Tem insalubridade. operacional@arcongelar.com.br 
</t>
      </is>
    </oc>
    <nc r="L413" t="inlineStr">
      <is>
        <t xml:space="preserve">Folha e Pro labore (   )
INSS (   )
FGTS e GFIP (   )
Tem insalubridade. 
</t>
      </is>
    </nc>
  </rcc>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 sId="2">
    <oc r="C142" t="inlineStr">
      <is>
        <r>
          <t xml:space="preserve">• MENSALMENTE PASSA POR EMAIL O VALOR DO PREMIO 
• FAZER RECIBO DA ASTRANSP - CNPJ 17570395000160 - SENHA 12345 </t>
        </r>
        <r>
          <rPr>
            <sz val="10"/>
            <color rgb="FFFF0000"/>
            <rFont val="Calibri"/>
            <family val="2"/>
          </rPr>
          <t>(Não tem funcionário com vale transporte)</t>
        </r>
        <r>
          <rPr>
            <sz val="10"/>
            <rFont val="Calibri"/>
            <family val="2"/>
          </rPr>
          <t xml:space="preserve"> *PLANO DE SAUDE DOS SOCIOS lançar co-participação para a funcionária ( MARIA) a empresa paga a mensalidade dela. Lançar plano para sócios e dependentes separados.passa os valor da comissão juntamente com o dsr fazer a separação na planilha em P:\documentos\OneDrive - Novus Contabilidade\Doc Compartilhado\Pessoal\Relatórios Sefip\Prime Tech\2019 jogando o valor até o total dar proximo do lançamento da empresa. Ele passa por email comissão quando tem e valores de plano de saude.</t>
        </r>
      </is>
    </oc>
    <nc r="C142" t="inlineStr">
      <is>
        <r>
          <t xml:space="preserve">• MENSALMENTE PASSA POR EMAIL O VALOR DO PREMIO 
• FAZER RECIBO DA ASTRANSP - CNPJ 17570395000160 - SENHA 12345 </t>
        </r>
        <r>
          <rPr>
            <sz val="10"/>
            <color rgb="FFFF0000"/>
            <rFont val="Calibri"/>
            <family val="2"/>
          </rPr>
          <t>(Não tem funcionário com vale transporte)</t>
        </r>
        <r>
          <rPr>
            <sz val="10"/>
            <rFont val="Calibri"/>
            <family val="2"/>
          </rPr>
          <t xml:space="preserve"> *PLANO DE SAUDE DOS SOCIOS lançar co-participação para a funcionária ( MARIA) a empresa paga a mensalidade dela. Lançar plano para sócios e dependentes separados.passa os valor da comissão juntamente com o dsr fazer a separação na planilha em P:\documentos\OneDrive - Novus Contabilidade\Doc Compartilhado\Pessoal\Relatórios Sefip\Prime Tech\2019 jogando o valor até o total dar proximo do lançamento da empresa. Plano de saude unimed é o cpf do wagner.</t>
        </r>
      </is>
    </nc>
  </rcc>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6" sId="1">
    <oc r="L213" t="inlineStr">
      <is>
        <r>
          <t xml:space="preserve">Folha (  )
INSS (   )
FGTS e GFIP (   )     </t>
        </r>
        <r>
          <rPr>
            <b/>
            <sz val="9"/>
            <color rgb="FFFF0000"/>
            <rFont val="Arial"/>
            <family val="2"/>
          </rPr>
          <t xml:space="preserve">Passa todos os meses o valor do pró labore                                                                                                                      </t>
        </r>
      </is>
    </oc>
    <nc r="L213" t="inlineStr">
      <is>
        <r>
          <t xml:space="preserve">Folha (  )
INSS (   )     IR (   )
FGTS e GFIP (   )     </t>
        </r>
        <r>
          <rPr>
            <b/>
            <sz val="9"/>
            <color rgb="FFFF0000"/>
            <rFont val="Arial"/>
            <family val="2"/>
          </rPr>
          <t xml:space="preserve">Passa todos os meses o valor do pró labore                                                                                                                      </t>
        </r>
      </is>
    </nc>
  </rcc>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7" sId="1">
    <oc r="L213" t="inlineStr">
      <is>
        <r>
          <t xml:space="preserve">Folha (  )
INSS (   )     IR (   )
FGTS e GFIP (   )     </t>
        </r>
        <r>
          <rPr>
            <b/>
            <sz val="9"/>
            <color rgb="FFFF0000"/>
            <rFont val="Arial"/>
            <family val="2"/>
          </rPr>
          <t xml:space="preserve">Passa todos os meses o valor do pró labore                                                                                                                      </t>
        </r>
      </is>
    </oc>
    <nc r="L213" t="inlineStr">
      <is>
        <r>
          <t xml:space="preserve">Folha (  )
INSS (   )     IR observar, alguns meses gera
FGTS e GFIP (   )     </t>
        </r>
        <r>
          <rPr>
            <b/>
            <sz val="9"/>
            <color rgb="FFFF0000"/>
            <rFont val="Arial"/>
            <family val="2"/>
          </rPr>
          <t xml:space="preserve">Passa todos os meses o valor do pró labore                                                                                                                      </t>
        </r>
      </is>
    </nc>
  </rcc>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B1 G1:XFD1 A3:B4 G3:XFD4 A6:B6 G6:XFD6 A13:B13 G13:XFD13 A16:B17 G16:XFD17 A19:B19 G19:XFD19 A22:B22 G22:XFD22 A30:B31 G30:XFD31 A34:B34 G34:XFD34 A44:B44 G44:XFD44 A59:B59 G59:XFD59 A63:B63 G63:XFD63 A71:B71 G71:XFD71 A73:B73 G73:XFD73 A86:B86 G86:XFD86 A89:B89 G89:XFD89 A95:B99 G95:XFD99 A110:B110 G110:XFD110 A115:B115 G115:XFD115 A125:B125 G125:XFD125 A127:B127 G127:XFD127 A129:B131 G129:XFD131 A133:B136 G133:XFD136 A138:B138 G138:XFD138 A148:B149 G148:XFD149 A163:B163 G163:XFD163 A165:B165 G165:XFD165 A182:B183 G182:XFD183 A192:B192 G192:XFD192 A205:B205 G205:XFD205 A217:B217 G217:XFD217 A220:B220 G220:XFD220 A222:B222 G222:XFD222 A225:B225 G225:XFD225 A232:B232 G232:XFD232 A244:B245 G244:XFD245 A250:B253 G250:XFD253 A258:B259 G258:XFD259 A262:B262 G262:XFD262 A264:B264 G264:XFD264 A266:B266 G266:XFD266 A269:B271 G269:XFD271 A277:B277 G277:XFD277 A280:B280 G280:XFD280 A286:B286 G286:XFD286 A288:B288 G288:XFD288 A293:B293 G293:XFD293 A300:B301 G300:XFD301 A309:B309 G309:XFD309 A321:B321 G321:XFD321 A328:B328 G328:XFD328 A337:B337 G337:XFD337 A344:B344 G344:XFD344 A347:B349 G347:XFD349 A352:B352 G352:XFD352 A354:B354 G354:XFD354 A357:B357 G357:XFD357 A360:B360 G360:XFD360 A363:B363 G363:XFD363 A374:B375 G374:XFD375 A377:B381 G377:XFD381 A383:B388 G383:XFD388 A392:B392 G392:XFD392 A394:B394 G394:XFD394 A417:B1048576 G417:XFD1048576" start="0" length="2147483647">
    <dxf>
      <font>
        <sz val="12"/>
      </font>
    </dxf>
  </rfmt>
  <rfmt sheetId="1" sqref="A1:B1 G1:L1 A3:B4 G3:L4 A6:B6 G6:L6 A13:B13 G13:L13 A16:B17 G16:L17 A19:B19 G19:L19 A22:B22 G22:L22 A30:B31 G30:L31 A34:B34 G34:L34 A44:B44 G44:L44 A59:B59 G59:L59 A63:B63 G63:L63 A71:B71 G71:L71 A73:B73 G73:L73 A86:B86 G86:L86 A89:B89 G89:L89 A95:B99 G95:L99 A110:B110 G110:L110 A115:B115 G115:L115 A125:B125 G125:L125 A127:B127 G127:L127 A129:B131 G129:L131 A133:B136 G133:L136 A138:B138 G138:L138 A148:B149 G148:L149 A163:B163 G163:L163 A165:B165 G165:L165 A182:B183 G182:L183 A192:B192 G192:L192 A205:B205 G205:L205 A217:B217 G217:L217 A220:B220 G220:L220 A222:B222 G222:L222 A225:B225 G225:L225 A232:B232 G232:L232 A244:B245 G244:L245 A250:B253 G250:L253 A258:B259 G258:L259 A262:B262 G262:L262 A264:B264 G264:L264 A266:B266 G266:L266 A269:B271 G269:L271 A277:B277 G277:L277 A280:B280 G280:L280 A286:B286 G286:L286 A288:B288 G288:L288 A293:B293 G293:L293 A300:B301 G300:L301 A309:B309 G309:L309 A321:B321 G321:L321 A328:B328 G328:L328 A337:B337 G337:L337 A344:B344 G344:L344 A347:B349 G347:L349 A352:B352 G352:L352 A354:B354 G354:L354 A357:B357 G357:L357 A360:B360 G360:L360 A363:B363 G363:L363 A374:B375 G374:L375 A377:B381 G377:L381 A383:B388 G383:L388 A392:B392 G392:L392 A394:B394 G394:L394" start="0" length="2147483647">
    <dxf>
      <font>
        <sz val="10"/>
      </font>
    </dxf>
  </rfmt>
  <rcc rId="1108" sId="1">
    <oc r="B31" t="inlineStr">
      <is>
        <t xml:space="preserve">PRESUMIDO </t>
      </is>
    </oc>
    <nc r="B31" t="inlineStr">
      <is>
        <t>RENAN MARCHIORI</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9" sId="1">
    <oc r="L385" t="inlineStr">
      <is>
        <t xml:space="preserve">Pro labore (   )  
INSS (   )
GFIP (   )  Inicio 11/2019  s/m passar a movimentar 01/2020 confirmar se teve NF </t>
      </is>
    </oc>
    <nc r="L385" t="inlineStr">
      <is>
        <t xml:space="preserve">Pro labore (   )  
INSS (   )
GFIP (   )  </t>
      </is>
    </nc>
  </rcc>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0" sId="4" odxf="1" dxf="1">
    <oc r="A3">
      <v>86.56</v>
    </oc>
    <nc r="A3">
      <v>5</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1" sId="4" odxf="1" dxf="1">
    <oc r="A4">
      <v>377.7</v>
    </oc>
    <nc r="A4">
      <v>6</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2" sId="4" odxf="1" dxf="1">
    <oc r="A5">
      <v>218.55</v>
    </oc>
    <nc r="A5">
      <v>8</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3" sId="4" odxf="1" dxf="1">
    <oc r="A6">
      <v>79.27</v>
    </oc>
    <nc r="A6">
      <v>22</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4" sId="4" odxf="1" dxf="1">
    <oc r="A7">
      <v>231.76</v>
    </oc>
    <nc r="A7">
      <v>31</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5" sId="4" odxf="1" dxf="1">
    <oc r="A8">
      <v>79.27</v>
    </oc>
    <nc r="A8">
      <v>32</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6" sId="4" odxf="1" dxf="1">
    <oc r="A9">
      <v>62.44</v>
    </oc>
    <nc r="A9">
      <v>36</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7" sId="4" odxf="1" dxf="1">
    <oc r="A10">
      <v>69.45</v>
    </oc>
    <nc r="A10">
      <v>46</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8" sId="4" odxf="1" dxf="1">
    <oc r="A11">
      <v>69.45</v>
    </oc>
    <nc r="A11">
      <v>60</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19" sId="4" odxf="1" dxf="1">
    <oc r="A12">
      <v>69.45</v>
    </oc>
    <nc r="A12">
      <v>61</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0" sId="4" odxf="1" dxf="1">
    <oc r="A13">
      <v>69.45</v>
    </oc>
    <nc r="A13">
      <v>67</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1" sId="4" odxf="1" dxf="1">
    <oc r="A14">
      <v>62.45</v>
    </oc>
    <nc r="A14">
      <v>107</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2" sId="4" odxf="1" dxf="1">
    <oc r="A15">
      <v>62.45</v>
    </oc>
    <nc r="A15">
      <v>181</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3" sId="4" odxf="1" dxf="1">
    <oc r="A16">
      <v>79.27</v>
    </oc>
    <nc r="A16">
      <v>192</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4" sId="4" odxf="1" dxf="1">
    <oc r="A17">
      <v>69.45</v>
    </oc>
    <nc r="A17">
      <v>231</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5" sId="4" odxf="1" dxf="1">
    <oc r="A18">
      <v>438.92</v>
    </oc>
    <nc r="A18">
      <v>234</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6" sId="4" odxf="1" dxf="1">
    <oc r="A19">
      <v>305.68</v>
    </oc>
    <nc r="A19">
      <v>269</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7" sId="4" odxf="1" dxf="1">
    <oc r="A20">
      <v>69.45</v>
    </oc>
    <nc r="A20">
      <v>296</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8" sId="4" odxf="1" dxf="1">
    <oc r="A21">
      <v>62.44</v>
    </oc>
    <nc r="A21">
      <v>311</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29" sId="4" odxf="1" dxf="1">
    <oc r="A22">
      <v>204.06</v>
    </oc>
    <nc r="A22">
      <v>312</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0" sId="4" odxf="1" dxf="1">
    <oc r="A23">
      <v>56.64</v>
    </oc>
    <nc r="A23">
      <v>315</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1" sId="4" odxf="1" dxf="1">
    <oc r="A24">
      <v>69.45</v>
    </oc>
    <nc r="A24">
      <v>316</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2" sId="4" odxf="1" dxf="1">
    <oc r="A25">
      <v>62.45</v>
    </oc>
    <nc r="A25">
      <v>323</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3" sId="4" odxf="1" dxf="1">
    <oc r="A26">
      <v>549.5</v>
    </oc>
    <nc r="A26">
      <v>365</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4" sId="4" odxf="1" dxf="1">
    <oc r="A27">
      <f>SUM(A3:A26)</f>
    </oc>
    <nc r="A27">
      <v>380</v>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5" sId="4" odxf="1" dxf="1">
    <nc r="A28">
      <v>404</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6" sId="4" odxf="1" dxf="1">
    <nc r="A29">
      <v>406</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7" sId="4" odxf="1" dxf="1">
    <nc r="A30">
      <v>408</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8" sId="4" odxf="1" dxf="1">
    <nc r="A31">
      <v>410</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39" sId="4" odxf="1" dxf="1">
    <nc r="A32">
      <v>411</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0" sId="4" odxf="1" dxf="1">
    <nc r="A33">
      <v>413</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1" sId="4" odxf="1" dxf="1">
    <nc r="A34">
      <v>415</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2" sId="4" odxf="1" dxf="1">
    <nc r="A35">
      <v>416</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3" sId="4" odxf="1" dxf="1">
    <nc r="A36">
      <v>417</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4" sId="4" odxf="1" dxf="1">
    <nc r="A37">
      <v>419</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5" sId="4" odxf="1" dxf="1">
    <nc r="A38">
      <v>453</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6" sId="4" odxf="1" dxf="1">
    <nc r="A39">
      <v>454</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47" sId="4" odxf="1" dxf="1">
    <nc r="A40">
      <v>476</v>
    </nc>
    <odxf>
      <font>
        <sz val="11"/>
        <color theme="1"/>
        <name val="Calibri"/>
        <scheme val="minor"/>
      </font>
      <alignment horizontal="general" vertical="bottom" wrapText="0" readingOrder="0"/>
      <border outline="0">
        <left/>
        <right/>
        <top/>
        <bottom/>
      </border>
      <protection locked="1"/>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protection locked="0"/>
    </ndxf>
  </rcc>
  <rcc rId="1148" sId="4" odxf="1" dxf="1">
    <nc r="A41">
      <v>481</v>
    </nc>
    <odxf>
      <font>
        <sz val="11"/>
        <color theme="1"/>
        <name val="Calibri"/>
        <scheme val="minor"/>
      </font>
      <alignment horizontal="general" vertical="bottom" wrapText="0" readingOrder="0"/>
      <border outline="0">
        <left/>
        <right/>
        <top/>
        <bottom/>
      </border>
      <protection locked="1"/>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protection locked="0"/>
    </ndxf>
  </rcc>
  <rcc rId="1149" sId="4" odxf="1" dxf="1">
    <nc r="A42">
      <v>499</v>
    </nc>
    <odxf>
      <font>
        <sz val="11"/>
        <color theme="1"/>
        <name val="Calibri"/>
        <scheme val="minor"/>
      </font>
      <alignment horizontal="general" vertical="bottom" wrapText="0" readingOrder="0"/>
      <border outline="0">
        <left/>
        <right/>
        <top/>
        <bottom/>
      </border>
      <protection locked="1"/>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protection locked="0"/>
    </ndxf>
  </rcc>
  <rcc rId="1150" sId="4" odxf="1" dxf="1">
    <nc r="A43">
      <v>501</v>
    </nc>
    <odxf>
      <font>
        <sz val="11"/>
        <color theme="1"/>
        <name val="Calibri"/>
        <scheme val="minor"/>
      </font>
      <alignment horizontal="general" vertical="bottom" wrapText="0" readingOrder="0"/>
      <border outline="0">
        <left/>
        <right/>
        <top/>
        <bottom/>
      </border>
      <protection locked="1"/>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protection locked="0"/>
    </ndxf>
  </rcc>
  <rcc rId="1151" sId="4" odxf="1" dxf="1">
    <nc r="A44">
      <v>529</v>
    </nc>
    <odxf>
      <font>
        <sz val="11"/>
        <color theme="1"/>
        <name val="Calibri"/>
        <scheme val="minor"/>
      </font>
      <alignment horizontal="general" vertical="bottom" wrapText="0" readingOrder="0"/>
      <border outline="0">
        <left/>
        <right/>
        <top/>
        <bottom/>
      </border>
      <protection locked="1"/>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protection locked="0"/>
    </ndxf>
  </rcc>
  <rcc rId="1152" sId="4" odxf="1" dxf="1">
    <nc r="A45">
      <v>554</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53" sId="4" odxf="1" dxf="1">
    <nc r="A46">
      <v>586</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54" sId="4" odxf="1" dxf="1">
    <nc r="A47">
      <v>590</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55" sId="4" odxf="1" dxf="1">
    <nc r="A48">
      <v>593</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56" sId="4" odxf="1" dxf="1">
    <nc r="A49">
      <v>596</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57" sId="4" odxf="1" dxf="1">
    <nc r="A50">
      <v>604</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58" sId="4" odxf="1" dxf="1">
    <nc r="A51">
      <v>670</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59" sId="4" odxf="1" dxf="1">
    <nc r="A52">
      <v>674</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60" sId="4" odxf="1" dxf="1">
    <nc r="A53">
      <v>680</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1" sId="4" odxf="1" dxf="1">
    <nc r="A54">
      <v>681</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2" sId="4" odxf="1" dxf="1">
    <nc r="A55">
      <v>682</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3" sId="4" odxf="1" dxf="1">
    <nc r="A56">
      <v>683</v>
    </nc>
    <odxf>
      <font>
        <sz val="11"/>
        <color theme="1"/>
        <name val="Calibri"/>
        <scheme val="minor"/>
      </font>
      <fill>
        <patternFill patternType="none">
          <bgColor indexed="65"/>
        </patternFill>
      </fill>
      <alignment horizontal="general" vertical="bottom" readingOrder="0"/>
      <border outline="0">
        <left/>
        <right/>
        <top/>
        <bottom/>
      </border>
    </odxf>
    <ndxf>
      <font>
        <sz val="10"/>
        <color auto="1"/>
        <name val="Arial"/>
        <scheme val="none"/>
      </font>
      <fill>
        <patternFill patternType="solid">
          <bgColor theme="9" tint="0.59999389629810485"/>
        </patternFill>
      </fill>
      <alignment horizontal="center" vertical="center" readingOrder="0"/>
      <border outline="0">
        <left style="thin">
          <color indexed="64"/>
        </left>
        <right style="thin">
          <color indexed="64"/>
        </right>
        <top style="thin">
          <color indexed="64"/>
        </top>
        <bottom style="thin">
          <color indexed="64"/>
        </bottom>
      </border>
    </ndxf>
  </rcc>
  <rcc rId="1164" sId="4" odxf="1" dxf="1">
    <nc r="A57">
      <v>689</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5" sId="4" odxf="1" dxf="1">
    <nc r="A58">
      <v>691</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6" sId="4" odxf="1" dxf="1">
    <nc r="A59">
      <v>695</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7" sId="4" odxf="1" dxf="1">
    <nc r="A60">
      <v>699</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68" sId="4" odxf="1" dxf="1">
    <nc r="A61">
      <v>702</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69" sId="4" odxf="1" dxf="1">
    <nc r="A62">
      <v>705</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70" sId="4" odxf="1" dxf="1">
    <nc r="A63">
      <v>707</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71" sId="4" odxf="1" dxf="1">
    <nc r="A64">
      <v>709</v>
    </nc>
    <odxf>
      <font>
        <sz val="11"/>
        <color theme="1"/>
        <name val="Calibri"/>
        <scheme val="minor"/>
      </font>
      <fill>
        <patternFill patternType="none">
          <bgColor indexed="65"/>
        </patternFill>
      </fill>
      <alignment horizontal="general" vertical="bottom" readingOrder="0"/>
      <border outline="0">
        <left/>
        <right/>
        <top/>
        <bottom/>
      </border>
    </odxf>
    <ndxf>
      <font>
        <sz val="10"/>
        <color auto="1"/>
        <name val="Arial"/>
        <scheme val="none"/>
      </font>
      <fill>
        <patternFill patternType="solid">
          <bgColor theme="0"/>
        </patternFill>
      </fill>
      <alignment horizontal="center" vertical="center" readingOrder="0"/>
      <border outline="0">
        <left style="thin">
          <color indexed="64"/>
        </left>
        <right style="thin">
          <color indexed="64"/>
        </right>
        <top style="thin">
          <color indexed="64"/>
        </top>
        <bottom style="thin">
          <color indexed="64"/>
        </bottom>
      </border>
    </ndxf>
  </rcc>
  <rcc rId="1172" sId="4" odxf="1" dxf="1">
    <nc r="A65">
      <v>759</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73" sId="4" odxf="1" dxf="1">
    <nc r="A66">
      <v>762</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74" sId="4" odxf="1" dxf="1">
    <nc r="A67">
      <v>768</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75" sId="4" odxf="1" dxf="1">
    <nc r="A68">
      <v>770</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76" sId="4" odxf="1" dxf="1">
    <nc r="A69">
      <v>776</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77" sId="4" odxf="1" dxf="1">
    <nc r="A70">
      <v>786</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78" sId="4" odxf="1" dxf="1">
    <nc r="A71">
      <v>787</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cc rId="1179" sId="4" odxf="1" dxf="1">
    <nc r="A72">
      <v>796</v>
    </nc>
    <odxf>
      <font>
        <sz val="11"/>
        <color theme="1"/>
        <name val="Calibri"/>
        <scheme val="minor"/>
      </font>
      <fill>
        <patternFill patternType="none">
          <bgColor indexed="65"/>
        </patternFill>
      </fill>
      <alignment horizontal="general" vertical="bottom" readingOrder="0"/>
      <border outline="0">
        <left/>
        <right/>
        <top/>
        <bottom/>
      </border>
    </odxf>
    <ndxf>
      <font>
        <sz val="10"/>
        <color auto="1"/>
        <name val="Arial"/>
        <scheme val="none"/>
      </font>
      <fill>
        <patternFill patternType="solid">
          <bgColor theme="0"/>
        </patternFill>
      </fill>
      <alignment horizontal="center" vertical="center" readingOrder="0"/>
      <border outline="0">
        <left style="thin">
          <color indexed="64"/>
        </left>
        <right style="thin">
          <color indexed="64"/>
        </right>
        <top style="thin">
          <color indexed="64"/>
        </top>
        <bottom style="thin">
          <color indexed="64"/>
        </bottom>
      </border>
    </ndxf>
  </rcc>
  <rcc rId="1180" sId="4" odxf="1" dxf="1">
    <nc r="A73">
      <v>808</v>
    </nc>
    <odxf>
      <font>
        <sz val="11"/>
        <color theme="1"/>
        <name val="Calibri"/>
        <scheme val="minor"/>
      </font>
      <alignment horizontal="general" vertical="bottom" readingOrder="0"/>
      <border outline="0">
        <left/>
        <right/>
        <top/>
        <bottom/>
      </border>
    </odxf>
    <ndxf>
      <font>
        <sz val="10"/>
        <color auto="1"/>
        <name val="Arial"/>
        <scheme val="none"/>
      </font>
      <alignment horizontal="center" vertical="center" readingOrder="0"/>
      <border outline="0">
        <left style="thin">
          <color indexed="64"/>
        </left>
        <right style="thin">
          <color indexed="64"/>
        </right>
        <top style="thin">
          <color indexed="64"/>
        </top>
        <bottom style="thin">
          <color indexed="64"/>
        </bottom>
      </border>
    </ndxf>
  </rcc>
  <rcc rId="1181" sId="4" odxf="1" dxf="1">
    <nc r="A74">
      <v>818</v>
    </nc>
    <odxf>
      <font>
        <sz val="11"/>
        <color theme="1"/>
        <name val="Calibri"/>
        <scheme val="minor"/>
      </font>
      <fill>
        <patternFill patternType="none">
          <bgColor indexed="65"/>
        </patternFill>
      </fill>
      <alignment horizontal="general" vertical="bottom" readingOrder="0"/>
      <border outline="0">
        <left/>
        <right/>
        <top/>
        <bottom/>
      </border>
    </odxf>
    <ndxf>
      <font>
        <sz val="10"/>
        <color auto="1"/>
        <name val="Arial"/>
        <scheme val="none"/>
      </font>
      <fill>
        <patternFill patternType="solid">
          <bgColor theme="0"/>
        </patternFill>
      </fill>
      <alignment horizontal="center" vertical="center" readingOrder="0"/>
      <border outline="0">
        <left style="thin">
          <color indexed="64"/>
        </left>
        <right style="thin">
          <color indexed="64"/>
        </right>
        <top style="thin">
          <color indexed="64"/>
        </top>
        <bottom style="thin">
          <color indexed="64"/>
        </bottom>
      </border>
    </ndxf>
  </rcc>
  <rcc rId="1182" sId="4" odxf="1" dxf="1">
    <nc r="A75">
      <v>828</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3" sId="4" odxf="1" dxf="1">
    <nc r="A76">
      <v>835</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4" sId="4" odxf="1" dxf="1">
    <nc r="A77">
      <v>838</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5" sId="4" odxf="1" dxf="1">
    <nc r="A78">
      <v>840</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6" sId="4" odxf="1" dxf="1">
    <nc r="A79">
      <v>841</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7" sId="4" odxf="1" dxf="1">
    <nc r="A80">
      <v>844</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8" sId="4" odxf="1" dxf="1">
    <nc r="A81">
      <v>847</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89" sId="4" odxf="1" dxf="1">
    <nc r="A82">
      <v>853</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top" wrapText="1" readingOrder="0"/>
      <border outline="0">
        <left style="thin">
          <color indexed="64"/>
        </left>
        <right style="thin">
          <color indexed="64"/>
        </right>
        <top style="thin">
          <color indexed="64"/>
        </top>
        <bottom style="thin">
          <color indexed="64"/>
        </bottom>
      </border>
    </ndxf>
  </rcc>
  <rcc rId="1190" sId="4" odxf="1" dxf="1">
    <nc r="A83">
      <v>857</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1" sId="4" odxf="1" dxf="1">
    <nc r="A84">
      <v>870</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2" sId="4" odxf="1" dxf="1">
    <nc r="A85">
      <v>871</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3" sId="4" odxf="1" dxf="1">
    <nc r="A86">
      <v>873</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4" sId="4" odxf="1" dxf="1">
    <nc r="A87">
      <v>874</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5" sId="4" odxf="1" dxf="1">
    <nc r="A88">
      <v>875</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6" sId="4" odxf="1" dxf="1">
    <nc r="A89">
      <v>877</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7" sId="4" odxf="1" dxf="1">
    <nc r="A90">
      <v>878</v>
    </nc>
    <odxf>
      <font>
        <sz val="11"/>
        <color theme="1"/>
        <name val="Calibri"/>
        <scheme val="minor"/>
      </font>
      <fill>
        <patternFill patternType="none">
          <bgColor indexed="65"/>
        </patternFill>
      </fill>
      <alignment horizontal="general" vertical="bottom" wrapText="0" readingOrder="0"/>
      <border outline="0">
        <left/>
        <right/>
        <top/>
        <bottom/>
      </border>
    </odxf>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1198" sId="4" odxf="1" dxf="1">
    <nc r="A91">
      <v>881</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199" sId="4" odxf="1" dxf="1">
    <nc r="A92">
      <v>882</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0" sId="4" odxf="1" dxf="1">
    <nc r="A93">
      <v>884</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1" sId="4" odxf="1" dxf="1">
    <nc r="A94">
      <v>885</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2" sId="4" odxf="1" dxf="1">
    <nc r="A95">
      <v>887</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3" sId="4" odxf="1" dxf="1">
    <nc r="A96">
      <v>888</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4" sId="4" odxf="1" dxf="1">
    <nc r="A97">
      <v>893</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5" sId="4" odxf="1" dxf="1">
    <nc r="A98">
      <v>894</v>
    </nc>
    <odxf>
      <font>
        <sz val="11"/>
        <color theme="1"/>
        <name val="Calibri"/>
        <scheme val="minor"/>
      </font>
      <alignment horizontal="general" vertical="bottom" wrapText="0" readingOrder="0"/>
      <border outline="0">
        <left/>
        <right/>
        <top/>
        <bottom/>
      </border>
    </odxf>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1206" sId="4">
    <nc r="B3" t="inlineStr">
      <is>
        <t>,</t>
      </is>
    </nc>
  </rcc>
  <rcc rId="1207" sId="4">
    <nc r="B4" t="inlineStr">
      <is>
        <t>,</t>
      </is>
    </nc>
  </rcc>
  <rcc rId="1208" sId="4">
    <nc r="B5" t="inlineStr">
      <is>
        <t>,</t>
      </is>
    </nc>
  </rcc>
  <rcc rId="1209" sId="4" odxf="1" dxf="1">
    <nc r="B6" t="inlineStr">
      <is>
        <t>,</t>
      </is>
    </nc>
    <odxf>
      <font>
        <sz val="7"/>
        <color auto="1"/>
        <name val="Times New Roman"/>
        <scheme val="none"/>
      </font>
    </odxf>
    <ndxf>
      <font>
        <sz val="8"/>
        <color auto="1"/>
        <name val="Times New Roman"/>
        <scheme val="minor"/>
      </font>
    </ndxf>
  </rcc>
  <rcc rId="1210" sId="4">
    <nc r="B7" t="inlineStr">
      <is>
        <t>,</t>
      </is>
    </nc>
  </rcc>
  <rcc rId="1211" sId="4" odxf="1" dxf="1">
    <nc r="B8" t="inlineStr">
      <is>
        <t>,</t>
      </is>
    </nc>
    <odxf>
      <protection locked="0"/>
    </odxf>
    <ndxf>
      <protection locked="1"/>
    </ndxf>
  </rcc>
  <rcc rId="1212" sId="4" odxf="1" dxf="1">
    <nc r="B9" t="inlineStr">
      <is>
        <t>,</t>
      </is>
    </nc>
    <odxf>
      <protection locked="0"/>
    </odxf>
    <ndxf>
      <protection locked="1"/>
    </ndxf>
  </rcc>
  <rcc rId="1213" sId="4" odxf="1" dxf="1">
    <nc r="B10" t="inlineStr">
      <is>
        <t>,</t>
      </is>
    </nc>
    <odxf>
      <protection locked="0"/>
    </odxf>
    <ndxf>
      <protection locked="1"/>
    </ndxf>
  </rcc>
  <rcc rId="1214" sId="4" odxf="1" dxf="1">
    <nc r="B11" t="inlineStr">
      <is>
        <t>,</t>
      </is>
    </nc>
    <odxf>
      <font>
        <sz val="7"/>
        <color auto="1"/>
        <name val="Times New Roman"/>
        <scheme val="none"/>
      </font>
    </odxf>
    <ndxf>
      <font>
        <sz val="8"/>
        <color auto="1"/>
        <name val="Times New Roman"/>
        <scheme val="minor"/>
      </font>
    </ndxf>
  </rcc>
  <rcc rId="1215" sId="4">
    <nc r="B12" t="inlineStr">
      <is>
        <t>,</t>
      </is>
    </nc>
  </rcc>
  <rcc rId="1216" sId="4" odxf="1" dxf="1">
    <nc r="B13" t="inlineStr">
      <is>
        <t>,</t>
      </is>
    </nc>
    <odxf/>
    <ndxf/>
  </rcc>
  <rcc rId="1217" sId="4">
    <nc r="B14" t="inlineStr">
      <is>
        <t>,</t>
      </is>
    </nc>
  </rcc>
  <rcc rId="1218" sId="4" odxf="1" dxf="1">
    <nc r="B15" t="inlineStr">
      <is>
        <t>,</t>
      </is>
    </nc>
    <odxf>
      <fill>
        <patternFill patternType="solid">
          <bgColor theme="0"/>
        </patternFill>
      </fill>
    </odxf>
    <ndxf>
      <fill>
        <patternFill patternType="none">
          <bgColor indexed="65"/>
        </patternFill>
      </fill>
    </ndxf>
  </rcc>
  <rcc rId="1219" sId="4" odxf="1" dxf="1">
    <nc r="B16" t="inlineStr">
      <is>
        <t>,</t>
      </is>
    </nc>
    <odxf>
      <fill>
        <patternFill patternType="solid">
          <bgColor theme="0"/>
        </patternFill>
      </fill>
    </odxf>
    <ndxf>
      <fill>
        <patternFill patternType="none">
          <bgColor indexed="65"/>
        </patternFill>
      </fill>
    </ndxf>
  </rcc>
  <rcc rId="1220" sId="4" odxf="1" dxf="1">
    <nc r="B17"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1" sId="4" odxf="1" dxf="1">
    <nc r="B18"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2" sId="4" odxf="1" dxf="1">
    <nc r="B19"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3" sId="4" odxf="1" dxf="1">
    <nc r="B20"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4" sId="4" odxf="1" dxf="1">
    <nc r="B21"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5" sId="4" odxf="1" dxf="1">
    <nc r="B22"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6" sId="4" odxf="1" dxf="1">
    <nc r="B23"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27" sId="4" odxf="1" dxf="1">
    <nc r="B24" t="inlineStr">
      <is>
        <t>,</t>
      </is>
    </nc>
    <odxf>
      <font>
        <sz val="10"/>
        <color auto="1"/>
      </font>
      <fill>
        <patternFill patternType="solid">
          <bgColor theme="0"/>
        </patternFill>
      </fill>
      <alignment vertical="top" readingOrder="0"/>
      <border outline="0">
        <left/>
        <right/>
        <top/>
        <bottom/>
      </border>
    </odxf>
    <ndxf>
      <font>
        <sz val="8"/>
        <color auto="1"/>
      </font>
      <fill>
        <patternFill patternType="none">
          <bgColor indexed="65"/>
        </patternFill>
      </fill>
      <alignment vertical="center" readingOrder="0"/>
      <border outline="0">
        <left style="thin">
          <color indexed="64"/>
        </left>
        <right style="thin">
          <color indexed="64"/>
        </right>
        <top style="thin">
          <color indexed="64"/>
        </top>
        <bottom style="thin">
          <color indexed="64"/>
        </bottom>
      </border>
    </ndxf>
  </rcc>
  <rcc rId="1228" sId="4" odxf="1" dxf="1">
    <nc r="B25" t="inlineStr">
      <is>
        <t>,</t>
      </is>
    </nc>
    <odxf>
      <font>
        <sz val="10"/>
        <color auto="1"/>
      </font>
      <alignment vertical="top" readingOrder="0"/>
      <border outline="0">
        <left/>
        <right/>
        <top/>
        <bottom/>
      </border>
    </odxf>
    <ndxf>
      <font>
        <sz val="8"/>
        <color auto="1"/>
      </font>
      <alignment vertical="center" readingOrder="0"/>
      <border outline="0">
        <left style="thin">
          <color indexed="64"/>
        </left>
        <right style="thin">
          <color indexed="64"/>
        </right>
        <top style="thin">
          <color indexed="64"/>
        </top>
        <bottom style="thin">
          <color indexed="64"/>
        </bottom>
      </border>
    </ndxf>
  </rcc>
  <rcc rId="1229" sId="4" odxf="1" dxf="1">
    <nc r="B26" t="inlineStr">
      <is>
        <t>,</t>
      </is>
    </nc>
    <odxf>
      <font>
        <sz val="10"/>
        <color auto="1"/>
      </font>
      <fill>
        <patternFill patternType="solid">
          <bgColor theme="0"/>
        </patternFill>
      </fill>
      <alignment vertical="top" readingOrder="0"/>
    </odxf>
    <ndxf>
      <font>
        <sz val="8"/>
        <color auto="1"/>
      </font>
      <fill>
        <patternFill patternType="none">
          <bgColor indexed="65"/>
        </patternFill>
      </fill>
      <alignment vertical="center" readingOrder="0"/>
    </ndxf>
  </rcc>
  <rcc rId="1230" sId="4" odxf="1" dxf="1">
    <nc r="B27" t="inlineStr">
      <is>
        <t>,</t>
      </is>
    </nc>
    <odxf>
      <font>
        <sz val="9"/>
        <color auto="1"/>
        <name val="Arial"/>
        <scheme val="none"/>
      </font>
      <protection locked="0"/>
    </odxf>
    <ndxf>
      <font>
        <sz val="8"/>
        <color auto="1"/>
        <name val="Arial"/>
        <scheme val="minor"/>
      </font>
      <protection locked="1"/>
    </ndxf>
  </rcc>
  <rcc rId="1231" sId="4" odxf="1" dxf="1">
    <nc r="B28"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32" sId="4" odxf="1" dxf="1">
    <nc r="B29" t="inlineStr">
      <is>
        <t>,</t>
      </is>
    </nc>
    <odxf>
      <font>
        <sz val="9"/>
        <color auto="1"/>
        <name val="Arial"/>
        <scheme val="none"/>
      </font>
    </odxf>
    <ndxf>
      <font>
        <sz val="8"/>
        <color auto="1"/>
        <name val="Arial"/>
        <scheme val="minor"/>
      </font>
    </ndxf>
  </rcc>
  <rcc rId="1233" sId="4" odxf="1" dxf="1">
    <nc r="B30" t="inlineStr">
      <is>
        <t>,</t>
      </is>
    </nc>
    <odxf>
      <font>
        <sz val="9"/>
        <color auto="1"/>
        <name val="Arial"/>
        <scheme val="none"/>
      </font>
    </odxf>
    <ndxf>
      <font>
        <sz val="8"/>
        <color auto="1"/>
        <name val="Arial"/>
        <scheme val="minor"/>
      </font>
    </ndxf>
  </rcc>
  <rcc rId="1234" sId="4" odxf="1" dxf="1">
    <nc r="B31" t="inlineStr">
      <is>
        <t>,</t>
      </is>
    </nc>
    <odxf>
      <font>
        <sz val="9"/>
        <color auto="1"/>
        <name val="Arial"/>
        <scheme val="none"/>
      </font>
    </odxf>
    <ndxf>
      <font>
        <sz val="8"/>
        <color auto="1"/>
        <name val="Arial"/>
        <scheme val="minor"/>
      </font>
    </ndxf>
  </rcc>
  <rcc rId="1235" sId="4" odxf="1" dxf="1">
    <nc r="B32" t="inlineStr">
      <is>
        <t>,</t>
      </is>
    </nc>
    <odxf>
      <font>
        <sz val="9"/>
        <color auto="1"/>
        <name val="Arial"/>
        <scheme val="none"/>
      </font>
      <protection locked="0"/>
    </odxf>
    <ndxf>
      <font>
        <sz val="8"/>
        <color auto="1"/>
        <name val="Arial"/>
        <scheme val="minor"/>
      </font>
      <protection locked="1"/>
    </ndxf>
  </rcc>
  <rcc rId="1236" sId="4" odxf="1" dxf="1">
    <nc r="B33" t="inlineStr">
      <is>
        <t>,</t>
      </is>
    </nc>
    <odxf>
      <font>
        <sz val="9"/>
        <color auto="1"/>
        <name val="Arial"/>
        <scheme val="none"/>
      </font>
      <protection locked="0"/>
    </odxf>
    <ndxf>
      <font>
        <sz val="8"/>
        <color auto="1"/>
        <name val="Arial"/>
        <scheme val="minor"/>
      </font>
      <protection locked="1"/>
    </ndxf>
  </rcc>
  <rcc rId="1237" sId="4" odxf="1" dxf="1">
    <nc r="B34"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38" sId="4" odxf="1" dxf="1">
    <nc r="B35" t="inlineStr">
      <is>
        <t>,</t>
      </is>
    </nc>
    <odxf>
      <font>
        <sz val="9"/>
        <color auto="1"/>
        <name val="Arial"/>
        <scheme val="none"/>
      </font>
      <protection locked="0"/>
    </odxf>
    <ndxf>
      <font>
        <sz val="8"/>
        <color auto="1"/>
        <name val="Arial"/>
        <scheme val="minor"/>
      </font>
      <protection locked="1"/>
    </ndxf>
  </rcc>
  <rcc rId="1239" sId="4" odxf="1" dxf="1">
    <nc r="B36" t="inlineStr">
      <is>
        <t>,</t>
      </is>
    </nc>
    <odxf>
      <font>
        <sz val="9"/>
        <color auto="1"/>
        <name val="Arial"/>
        <scheme val="none"/>
      </font>
      <protection locked="0"/>
    </odxf>
    <ndxf>
      <font>
        <sz val="8"/>
        <color auto="1"/>
        <name val="Arial"/>
        <scheme val="minor"/>
      </font>
      <protection locked="1"/>
    </ndxf>
  </rcc>
  <rcc rId="1240" sId="4" odxf="1" dxf="1">
    <nc r="B37" t="inlineStr">
      <is>
        <t>,</t>
      </is>
    </nc>
    <odxf>
      <font>
        <sz val="9"/>
        <color auto="1"/>
        <name val="Arial"/>
        <scheme val="none"/>
      </font>
      <protection locked="0"/>
    </odxf>
    <ndxf>
      <font>
        <sz val="8"/>
        <color auto="1"/>
        <name val="Arial"/>
        <scheme val="minor"/>
      </font>
      <protection locked="1"/>
    </ndxf>
  </rcc>
  <rcc rId="1241" sId="4" odxf="1" dxf="1">
    <nc r="B38" t="inlineStr">
      <is>
        <t>,</t>
      </is>
    </nc>
    <odxf>
      <font>
        <sz val="9"/>
        <color auto="1"/>
        <name val="Arial"/>
        <scheme val="none"/>
      </font>
      <protection locked="0"/>
    </odxf>
    <ndxf>
      <font>
        <sz val="8"/>
        <color auto="1"/>
        <name val="Arial"/>
        <scheme val="minor"/>
      </font>
      <protection locked="1"/>
    </ndxf>
  </rcc>
  <rcc rId="1242" sId="4" odxf="1" dxf="1">
    <nc r="B39" t="inlineStr">
      <is>
        <t>,</t>
      </is>
    </nc>
    <odxf>
      <font>
        <sz val="9"/>
        <color auto="1"/>
        <name val="Arial"/>
        <scheme val="none"/>
      </font>
      <protection locked="0"/>
    </odxf>
    <ndxf>
      <font>
        <sz val="8"/>
        <color auto="1"/>
        <name val="Arial"/>
        <scheme val="minor"/>
      </font>
      <protection locked="1"/>
    </ndxf>
  </rcc>
  <rcc rId="1243" sId="4" odxf="1" dxf="1">
    <nc r="B40" t="inlineStr">
      <is>
        <t>,</t>
      </is>
    </nc>
    <odxf>
      <font>
        <sz val="9"/>
        <color auto="1"/>
        <name val="Arial"/>
        <scheme val="none"/>
      </font>
      <protection locked="0"/>
    </odxf>
    <ndxf>
      <font>
        <sz val="8"/>
        <color auto="1"/>
        <name val="Arial"/>
        <scheme val="minor"/>
      </font>
      <protection locked="1"/>
    </ndxf>
  </rcc>
  <rcc rId="1244" sId="4" odxf="1" dxf="1">
    <nc r="B41" t="inlineStr">
      <is>
        <t>,</t>
      </is>
    </nc>
    <odxf>
      <font>
        <sz val="9"/>
        <color auto="1"/>
        <name val="Arial"/>
        <scheme val="none"/>
      </font>
      <protection locked="0"/>
    </odxf>
    <ndxf>
      <font>
        <sz val="8"/>
        <color auto="1"/>
        <name val="Arial"/>
        <scheme val="minor"/>
      </font>
      <protection locked="1"/>
    </ndxf>
  </rcc>
  <rcc rId="1245" sId="4" odxf="1" dxf="1">
    <nc r="B42" t="inlineStr">
      <is>
        <t>,</t>
      </is>
    </nc>
    <odxf>
      <font>
        <sz val="9"/>
        <color auto="1"/>
        <name val="Arial"/>
        <scheme val="none"/>
      </font>
      <protection locked="0"/>
    </odxf>
    <ndxf>
      <font>
        <sz val="8"/>
        <color auto="1"/>
        <name val="Arial"/>
        <scheme val="minor"/>
      </font>
      <protection locked="1"/>
    </ndxf>
  </rcc>
  <rcc rId="1246" sId="4" odxf="1" dxf="1">
    <nc r="B43" t="inlineStr">
      <is>
        <t>,</t>
      </is>
    </nc>
    <odxf>
      <font>
        <sz val="9"/>
        <color auto="1"/>
        <name val="Arial"/>
        <scheme val="none"/>
      </font>
      <protection locked="0"/>
    </odxf>
    <ndxf>
      <font>
        <sz val="8"/>
        <color auto="1"/>
        <name val="Arial"/>
        <scheme val="minor"/>
      </font>
      <protection locked="1"/>
    </ndxf>
  </rcc>
  <rcc rId="1247" sId="4" odxf="1" dxf="1">
    <nc r="B44" t="inlineStr">
      <is>
        <t>,</t>
      </is>
    </nc>
    <odxf>
      <font>
        <sz val="9"/>
        <color auto="1"/>
        <name val="Arial"/>
        <scheme val="none"/>
      </font>
      <protection locked="0"/>
    </odxf>
    <ndxf>
      <font>
        <sz val="8"/>
        <color auto="1"/>
        <name val="Arial"/>
        <scheme val="minor"/>
      </font>
      <protection locked="1"/>
    </ndxf>
  </rcc>
  <rcc rId="1248" sId="4" odxf="1" dxf="1">
    <nc r="B45" t="inlineStr">
      <is>
        <t>,</t>
      </is>
    </nc>
    <odxf>
      <font>
        <sz val="9"/>
        <color auto="1"/>
        <name val="Arial"/>
        <scheme val="none"/>
      </font>
      <protection locked="0"/>
    </odxf>
    <ndxf>
      <font>
        <sz val="8"/>
        <color auto="1"/>
        <name val="Arial"/>
        <scheme val="minor"/>
      </font>
      <protection locked="1"/>
    </ndxf>
  </rcc>
  <rcc rId="1249" sId="4" odxf="1" dxf="1">
    <nc r="B46"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50" sId="4" odxf="1" dxf="1">
    <nc r="B47"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51" sId="4" odxf="1" dxf="1">
    <nc r="B48"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52" sId="4" odxf="1" dxf="1">
    <nc r="B49" t="inlineStr">
      <is>
        <t>,</t>
      </is>
    </nc>
    <odxf>
      <font>
        <sz val="9"/>
        <color auto="1"/>
        <name val="Arial"/>
        <scheme val="none"/>
      </font>
    </odxf>
    <ndxf>
      <font>
        <sz val="8"/>
        <color auto="1"/>
        <name val="Arial"/>
        <scheme val="minor"/>
      </font>
    </ndxf>
  </rcc>
  <rcc rId="1253" sId="4" odxf="1" dxf="1">
    <nc r="B50" t="inlineStr">
      <is>
        <t>,</t>
      </is>
    </nc>
    <odxf>
      <font>
        <sz val="9"/>
        <color auto="1"/>
        <name val="Arial"/>
        <scheme val="none"/>
      </font>
    </odxf>
    <ndxf>
      <font>
        <sz val="8"/>
        <color auto="1"/>
        <name val="Arial"/>
        <scheme val="minor"/>
      </font>
    </ndxf>
  </rcc>
  <rcc rId="1254" sId="4" odxf="1" dxf="1">
    <nc r="B51" t="inlineStr">
      <is>
        <t>,</t>
      </is>
    </nc>
    <odxf>
      <font>
        <sz val="9"/>
        <color auto="1"/>
        <name val="Arial"/>
        <scheme val="none"/>
      </font>
    </odxf>
    <ndxf>
      <font>
        <sz val="8"/>
        <color auto="1"/>
        <name val="Arial"/>
        <scheme val="minor"/>
      </font>
    </ndxf>
  </rcc>
  <rcc rId="1255" sId="4" odxf="1" dxf="1">
    <nc r="B52" t="inlineStr">
      <is>
        <t>,</t>
      </is>
    </nc>
    <odxf>
      <font>
        <sz val="9"/>
        <color auto="1"/>
        <name val="Arial"/>
        <scheme val="none"/>
      </font>
    </odxf>
    <ndxf>
      <font>
        <sz val="8"/>
        <color auto="1"/>
        <name val="Arial"/>
        <scheme val="minor"/>
      </font>
    </ndxf>
  </rcc>
  <rcc rId="1256" sId="4" odxf="1" dxf="1">
    <nc r="B53" t="inlineStr">
      <is>
        <t>,</t>
      </is>
    </nc>
    <odxf>
      <font>
        <sz val="9"/>
        <color auto="1"/>
        <name val="Arial"/>
        <scheme val="none"/>
      </font>
    </odxf>
    <ndxf>
      <font>
        <sz val="8"/>
        <color auto="1"/>
        <name val="Arial"/>
        <scheme val="minor"/>
      </font>
    </ndxf>
  </rcc>
  <rcc rId="1257" sId="4" odxf="1" dxf="1">
    <nc r="B54" t="inlineStr">
      <is>
        <t>,</t>
      </is>
    </nc>
    <odxf>
      <font>
        <sz val="9"/>
        <color auto="1"/>
        <name val="Arial"/>
        <scheme val="none"/>
      </font>
    </odxf>
    <ndxf>
      <font>
        <sz val="8"/>
        <color auto="1"/>
        <name val="Arial"/>
        <scheme val="minor"/>
      </font>
    </ndxf>
  </rcc>
  <rcc rId="1258" sId="4" odxf="1" dxf="1">
    <nc r="B55" t="inlineStr">
      <is>
        <t>,</t>
      </is>
    </nc>
    <odxf>
      <font>
        <sz val="9"/>
        <color auto="1"/>
        <name val="Arial"/>
        <scheme val="none"/>
      </font>
    </odxf>
    <ndxf>
      <font>
        <sz val="8"/>
        <color auto="1"/>
        <name val="Arial"/>
        <scheme val="minor"/>
      </font>
    </ndxf>
  </rcc>
  <rcc rId="1259" sId="4" odxf="1" dxf="1">
    <nc r="B56" t="inlineStr">
      <is>
        <t>,</t>
      </is>
    </nc>
    <odxf>
      <font>
        <sz val="9"/>
        <color auto="1"/>
        <name val="Arial"/>
        <scheme val="none"/>
      </font>
    </odxf>
    <ndxf>
      <font>
        <sz val="8"/>
        <color auto="1"/>
        <name val="Arial"/>
        <scheme val="minor"/>
      </font>
    </ndxf>
  </rcc>
  <rcc rId="1260" sId="4" odxf="1" dxf="1">
    <nc r="B57" t="inlineStr">
      <is>
        <t>,</t>
      </is>
    </nc>
    <odxf>
      <font>
        <sz val="9"/>
        <color auto="1"/>
        <name val="Arial"/>
        <scheme val="none"/>
      </font>
      <fill>
        <patternFill patternType="solid">
          <bgColor theme="0"/>
        </patternFill>
      </fill>
      <alignment wrapText="0" readingOrder="0"/>
    </odxf>
    <ndxf>
      <font>
        <sz val="8"/>
        <color auto="1"/>
        <name val="Arial"/>
        <scheme val="minor"/>
      </font>
      <fill>
        <patternFill patternType="none">
          <bgColor indexed="65"/>
        </patternFill>
      </fill>
      <alignment wrapText="1" readingOrder="0"/>
    </ndxf>
  </rcc>
  <rcc rId="1261" sId="4" odxf="1" dxf="1">
    <nc r="B58" t="inlineStr">
      <is>
        <t>,</t>
      </is>
    </nc>
    <odxf>
      <font>
        <sz val="9"/>
        <color auto="1"/>
        <name val="Arial"/>
        <scheme val="none"/>
      </font>
    </odxf>
    <ndxf>
      <font>
        <sz val="8"/>
        <color auto="1"/>
        <name val="Arial"/>
        <scheme val="minor"/>
      </font>
    </ndxf>
  </rcc>
  <rcc rId="1262" sId="4" odxf="1" dxf="1">
    <nc r="B59" t="inlineStr">
      <is>
        <t>,</t>
      </is>
    </nc>
    <odxf>
      <font>
        <sz val="9"/>
        <color auto="1"/>
        <name val="Arial"/>
        <scheme val="none"/>
      </font>
    </odxf>
    <ndxf>
      <font>
        <sz val="8"/>
        <color auto="1"/>
        <name val="Arial"/>
        <scheme val="minor"/>
      </font>
    </ndxf>
  </rcc>
  <rcc rId="1263" sId="4" odxf="1" dxf="1">
    <nc r="B60" t="inlineStr">
      <is>
        <t>,</t>
      </is>
    </nc>
    <odxf>
      <font>
        <sz val="9"/>
        <color auto="1"/>
        <name val="Arial"/>
        <scheme val="none"/>
      </font>
      <alignment wrapText="0" readingOrder="0"/>
    </odxf>
    <ndxf>
      <font>
        <sz val="8"/>
        <color auto="1"/>
        <name val="Arial"/>
        <scheme val="minor"/>
      </font>
      <alignment wrapText="1" readingOrder="0"/>
    </ndxf>
  </rcc>
  <rcc rId="1264" sId="4" odxf="1" dxf="1">
    <nc r="B61" t="inlineStr">
      <is>
        <t>,</t>
      </is>
    </nc>
    <odxf>
      <font>
        <sz val="9"/>
        <color auto="1"/>
        <name val="Arial"/>
        <scheme val="none"/>
      </font>
    </odxf>
    <ndxf>
      <font>
        <sz val="8"/>
        <color auto="1"/>
        <name val="Arial"/>
        <scheme val="minor"/>
      </font>
    </ndxf>
  </rcc>
  <rcc rId="1265" sId="4" odxf="1" dxf="1">
    <nc r="B62" t="inlineStr">
      <is>
        <t>,</t>
      </is>
    </nc>
    <odxf>
      <font>
        <sz val="9"/>
        <color auto="1"/>
        <name val="Arial"/>
        <scheme val="none"/>
      </font>
      <alignment wrapText="0" readingOrder="0"/>
    </odxf>
    <ndxf>
      <font>
        <sz val="8"/>
        <color auto="1"/>
        <name val="Arial"/>
        <scheme val="minor"/>
      </font>
      <alignment wrapText="1" readingOrder="0"/>
    </ndxf>
  </rcc>
  <rcc rId="1266" sId="4" odxf="1" dxf="1">
    <nc r="B63" t="inlineStr">
      <is>
        <t>,</t>
      </is>
    </nc>
    <odxf>
      <font>
        <sz val="9"/>
        <color auto="1"/>
        <name val="Arial"/>
        <scheme val="none"/>
      </font>
    </odxf>
    <ndxf>
      <font>
        <sz val="8"/>
        <color auto="1"/>
        <name val="Arial"/>
        <scheme val="minor"/>
      </font>
    </ndxf>
  </rcc>
  <rcc rId="1267" sId="4" odxf="1" dxf="1">
    <nc r="B64" t="inlineStr">
      <is>
        <t>,</t>
      </is>
    </nc>
    <odxf>
      <font>
        <sz val="9"/>
        <color auto="1"/>
        <name val="Arial"/>
        <scheme val="none"/>
      </font>
    </odxf>
    <ndxf>
      <font>
        <sz val="8"/>
        <color auto="1"/>
        <name val="Arial"/>
        <scheme val="minor"/>
      </font>
    </ndxf>
  </rcc>
  <rcc rId="1268" sId="4" odxf="1" dxf="1">
    <nc r="B65"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69" sId="4" odxf="1" dxf="1">
    <nc r="B66"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70" sId="4" odxf="1" dxf="1">
    <nc r="B67"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71" sId="4" odxf="1" dxf="1">
    <nc r="B68"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72" sId="4" odxf="1" dxf="1">
    <nc r="B69"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73" sId="4" odxf="1" dxf="1">
    <nc r="B70"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74" sId="4" odxf="1" dxf="1">
    <nc r="B71" t="inlineStr">
      <is>
        <t>,</t>
      </is>
    </nc>
    <odxf>
      <font>
        <sz val="9"/>
        <color auto="1"/>
        <name val="Arial"/>
        <scheme val="none"/>
      </font>
      <fill>
        <patternFill patternType="solid">
          <bgColor theme="0"/>
        </patternFill>
      </fill>
      <alignment vertical="top" wrapText="0" readingOrder="0"/>
    </odxf>
    <ndxf>
      <font>
        <sz val="8"/>
        <color auto="1"/>
        <name val="Arial"/>
        <scheme val="minor"/>
      </font>
      <fill>
        <patternFill patternType="none">
          <bgColor indexed="65"/>
        </patternFill>
      </fill>
      <alignment vertical="center" wrapText="1" readingOrder="0"/>
    </ndxf>
  </rcc>
  <rcc rId="1275" sId="4" odxf="1" dxf="1">
    <nc r="B72"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76" sId="4" odxf="1" dxf="1">
    <nc r="B73"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77" sId="4" odxf="1" dxf="1">
    <nc r="B74"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78" sId="4" odxf="1" dxf="1">
    <nc r="B75"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79" sId="4" odxf="1" dxf="1">
    <nc r="B76"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80" sId="4" odxf="1" dxf="1">
    <nc r="B77"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81" sId="4" odxf="1" dxf="1">
    <nc r="B78"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82" sId="4" odxf="1" dxf="1">
    <nc r="B79"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83" sId="4" odxf="1" dxf="1">
    <nc r="B80" t="inlineStr">
      <is>
        <t>,</t>
      </is>
    </nc>
    <odxf>
      <font>
        <sz val="9"/>
        <color auto="1"/>
        <name val="Arial"/>
        <scheme val="none"/>
      </font>
      <fill>
        <patternFill patternType="solid">
          <bgColor theme="0"/>
        </patternFill>
      </fill>
    </odxf>
    <ndxf>
      <font>
        <sz val="8"/>
        <color auto="1"/>
        <name val="Arial"/>
        <scheme val="minor"/>
      </font>
      <fill>
        <patternFill patternType="none">
          <bgColor indexed="65"/>
        </patternFill>
      </fill>
    </ndxf>
  </rcc>
  <rcc rId="1284" sId="4" odxf="1" dxf="1">
    <nc r="B81"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85" sId="4" odxf="1" dxf="1">
    <nc r="B82"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86" sId="4" odxf="1" dxf="1">
    <nc r="B83" t="inlineStr">
      <is>
        <t>,</t>
      </is>
    </nc>
    <odxf>
      <font>
        <sz val="9"/>
        <color auto="1"/>
        <name val="Arial"/>
        <scheme val="none"/>
      </font>
      <fill>
        <patternFill patternType="solid">
          <bgColor theme="0"/>
        </patternFill>
      </fill>
      <alignment vertical="top" readingOrder="0"/>
    </odxf>
    <ndxf>
      <font>
        <sz val="8"/>
        <color auto="1"/>
        <name val="Arial"/>
        <scheme val="minor"/>
      </font>
      <fill>
        <patternFill patternType="none">
          <bgColor indexed="65"/>
        </patternFill>
      </fill>
      <alignment vertical="center" readingOrder="0"/>
    </ndxf>
  </rcc>
  <rcc rId="1287" sId="4" odxf="1" dxf="1">
    <nc r="B84" t="inlineStr">
      <is>
        <t>,</t>
      </is>
    </nc>
    <odxf>
      <font>
        <sz val="9"/>
        <color auto="1"/>
        <name val="Arial"/>
        <scheme val="none"/>
      </font>
    </odxf>
    <ndxf>
      <font>
        <sz val="8"/>
        <color auto="1"/>
        <name val="Arial"/>
        <scheme val="minor"/>
      </font>
    </ndxf>
  </rcc>
  <rcc rId="1288" sId="4" odxf="1" dxf="1">
    <nc r="B85" t="inlineStr">
      <is>
        <t>,</t>
      </is>
    </nc>
    <odxf>
      <font>
        <sz val="9"/>
        <color auto="1"/>
        <name val="Arial"/>
        <scheme val="none"/>
      </font>
    </odxf>
    <ndxf>
      <font>
        <sz val="8"/>
        <color auto="1"/>
        <name val="Arial"/>
        <scheme val="minor"/>
      </font>
    </ndxf>
  </rcc>
  <rcc rId="1289" sId="4" odxf="1" dxf="1">
    <nc r="B86" t="inlineStr">
      <is>
        <t>,</t>
      </is>
    </nc>
    <odxf>
      <font>
        <sz val="9"/>
        <color auto="1"/>
        <name val="Arial"/>
        <scheme val="none"/>
      </font>
    </odxf>
    <ndxf>
      <font>
        <sz val="8"/>
        <color auto="1"/>
        <name val="Arial"/>
        <scheme val="minor"/>
      </font>
    </ndxf>
  </rcc>
  <rcc rId="1290" sId="4" odxf="1" dxf="1">
    <nc r="B87" t="inlineStr">
      <is>
        <t>,</t>
      </is>
    </nc>
    <odxf>
      <font>
        <sz val="9"/>
        <color auto="1"/>
        <name val="Arial"/>
        <scheme val="none"/>
      </font>
    </odxf>
    <ndxf>
      <font>
        <sz val="8"/>
        <color auto="1"/>
        <name val="Arial"/>
        <scheme val="minor"/>
      </font>
    </ndxf>
  </rcc>
  <rcc rId="1291" sId="4" odxf="1" dxf="1">
    <nc r="B88" t="inlineStr">
      <is>
        <t>,</t>
      </is>
    </nc>
    <odxf>
      <font>
        <sz val="9"/>
        <color auto="1"/>
        <name val="Arial"/>
        <scheme val="none"/>
      </font>
    </odxf>
    <ndxf>
      <font>
        <sz val="8"/>
        <color auto="1"/>
        <name val="Arial"/>
        <scheme val="minor"/>
      </font>
    </ndxf>
  </rcc>
  <rcc rId="1292" sId="4" odxf="1" dxf="1">
    <nc r="B89" t="inlineStr">
      <is>
        <t>,</t>
      </is>
    </nc>
    <odxf>
      <font>
        <i/>
        <sz val="9"/>
        <color auto="1"/>
        <name val="Arial"/>
        <scheme val="none"/>
      </font>
    </odxf>
    <ndxf>
      <font>
        <i val="0"/>
        <sz val="8"/>
        <color auto="1"/>
        <name val="Arial"/>
        <scheme val="minor"/>
      </font>
    </ndxf>
  </rcc>
  <rcc rId="1293" sId="4" odxf="1" dxf="1">
    <nc r="B90" t="inlineStr">
      <is>
        <t>,</t>
      </is>
    </nc>
    <odxf>
      <font>
        <sz val="9"/>
        <color auto="1"/>
        <name val="Arial"/>
        <scheme val="none"/>
      </font>
    </odxf>
    <ndxf>
      <font>
        <sz val="8"/>
        <color auto="1"/>
        <name val="Arial"/>
        <scheme val="minor"/>
      </font>
    </ndxf>
  </rcc>
  <rcc rId="1294" sId="4" odxf="1" dxf="1">
    <nc r="B91"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295" sId="4" odxf="1" dxf="1">
    <nc r="B92"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296" sId="4" odxf="1" dxf="1">
    <nc r="B93"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297" sId="4" odxf="1" dxf="1">
    <nc r="B94"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298" sId="4" odxf="1" dxf="1">
    <nc r="B95"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299" sId="4" odxf="1" dxf="1">
    <nc r="B96"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300" sId="4" odxf="1" dxf="1">
    <nc r="B97"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301" sId="4" odxf="1" dxf="1">
    <nc r="B98" t="inlineStr">
      <is>
        <t>,</t>
      </is>
    </nc>
    <odxf>
      <font>
        <sz val="11"/>
        <color theme="1"/>
        <name val="Calibri"/>
        <scheme val="minor"/>
      </font>
      <alignment horizontal="general" vertical="bottom" wrapText="0" readingOrder="0"/>
      <border outline="0">
        <left/>
        <right/>
        <top/>
        <bottom/>
      </border>
    </odxf>
    <ndxf>
      <font>
        <sz val="8"/>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1302" sId="4">
    <nc r="C3">
      <f>CONCATENATE(A3,B3)</f>
    </nc>
  </rcc>
  <rcc rId="1303" sId="4">
    <nc r="C4">
      <f>CONCATENATE(A4,B4)</f>
    </nc>
  </rcc>
  <rcc rId="1304" sId="4">
    <nc r="C5">
      <f>CONCATENATE(A5,B5)</f>
    </nc>
  </rcc>
  <rcc rId="1305" sId="4">
    <nc r="C6">
      <f>CONCATENATE(A6,B6)</f>
    </nc>
  </rcc>
  <rcc rId="1306" sId="4">
    <nc r="C7">
      <f>CONCATENATE(A7,B7)</f>
    </nc>
  </rcc>
  <rcc rId="1307" sId="4">
    <nc r="C8">
      <f>CONCATENATE(A8,B8)</f>
    </nc>
  </rcc>
  <rcc rId="1308" sId="4">
    <nc r="C9">
      <f>CONCATENATE(A9,B9)</f>
    </nc>
  </rcc>
  <rcc rId="1309" sId="4">
    <nc r="C10">
      <f>CONCATENATE(A10,B10)</f>
    </nc>
  </rcc>
  <rcc rId="1310" sId="4">
    <nc r="C11">
      <f>CONCATENATE(A11,B11)</f>
    </nc>
  </rcc>
  <rcc rId="1311" sId="4">
    <nc r="C12">
      <f>CONCATENATE(A12,B12)</f>
    </nc>
  </rcc>
  <rcc rId="1312" sId="4">
    <nc r="C13">
      <f>CONCATENATE(A13,B13)</f>
    </nc>
  </rcc>
  <rcc rId="1313" sId="4">
    <nc r="C14">
      <f>CONCATENATE(A14,B14)</f>
    </nc>
  </rcc>
  <rcc rId="1314" sId="4">
    <nc r="C15">
      <f>CONCATENATE(A15,B15)</f>
    </nc>
  </rcc>
  <rcc rId="1315" sId="4">
    <nc r="C16">
      <f>CONCATENATE(A16,B16)</f>
    </nc>
  </rcc>
  <rcc rId="1316" sId="4">
    <nc r="C17">
      <f>CONCATENATE(A17,B17)</f>
    </nc>
  </rcc>
  <rcc rId="1317" sId="4">
    <nc r="C18">
      <f>CONCATENATE(A18,B18)</f>
    </nc>
  </rcc>
  <rcc rId="1318" sId="4">
    <nc r="C19">
      <f>CONCATENATE(A19,B19)</f>
    </nc>
  </rcc>
  <rcc rId="1319" sId="4">
    <nc r="C20">
      <f>CONCATENATE(A20,B20)</f>
    </nc>
  </rcc>
  <rcc rId="1320" sId="4">
    <nc r="C21">
      <f>CONCATENATE(A21,B21)</f>
    </nc>
  </rcc>
  <rcc rId="1321" sId="4">
    <nc r="C22">
      <f>CONCATENATE(A22,B22)</f>
    </nc>
  </rcc>
  <rcc rId="1322" sId="4">
    <nc r="C23">
      <f>CONCATENATE(A23,B23)</f>
    </nc>
  </rcc>
  <rcc rId="1323" sId="4">
    <nc r="C24">
      <f>CONCATENATE(A24,B24)</f>
    </nc>
  </rcc>
  <rcc rId="1324" sId="4" odxf="1" dxf="1">
    <nc r="C25">
      <f>CONCATENATE(A25,B25)</f>
    </nc>
    <odxf/>
    <ndxf/>
  </rcc>
  <rcc rId="1325" sId="4">
    <nc r="C26">
      <f>CONCATENATE(A26,B26)</f>
    </nc>
  </rcc>
  <rcc rId="1326" sId="4">
    <nc r="C27">
      <f>CONCATENATE(A27,B27)</f>
    </nc>
  </rcc>
  <rcc rId="1327" sId="4">
    <nc r="C28">
      <f>CONCATENATE(A28,B28)</f>
    </nc>
  </rcc>
  <rcc rId="1328" sId="4">
    <nc r="C29">
      <f>CONCATENATE(A29,B29)</f>
    </nc>
  </rcc>
  <rcc rId="1329" sId="4">
    <nc r="C30">
      <f>CONCATENATE(A30,B30)</f>
    </nc>
  </rcc>
  <rcc rId="1330" sId="4">
    <nc r="C31">
      <f>CONCATENATE(A31,B31)</f>
    </nc>
  </rcc>
  <rcc rId="1331" sId="4">
    <nc r="C32">
      <f>CONCATENATE(A32,B32)</f>
    </nc>
  </rcc>
  <rcc rId="1332" sId="4">
    <nc r="C33">
      <f>CONCATENATE(A33,B33)</f>
    </nc>
  </rcc>
  <rcc rId="1333" sId="4">
    <nc r="C34">
      <f>CONCATENATE(A34,B34)</f>
    </nc>
  </rcc>
  <rcc rId="1334" sId="4">
    <nc r="C35">
      <f>CONCATENATE(A35,B35)</f>
    </nc>
  </rcc>
  <rcc rId="1335" sId="4">
    <nc r="C36">
      <f>CONCATENATE(A36,B36)</f>
    </nc>
  </rcc>
  <rcc rId="1336" sId="4">
    <nc r="C37">
      <f>CONCATENATE(A37,B37)</f>
    </nc>
  </rcc>
  <rcc rId="1337" sId="4">
    <nc r="C38">
      <f>CONCATENATE(A38,B38)</f>
    </nc>
  </rcc>
  <rcc rId="1338" sId="4">
    <nc r="C39">
      <f>CONCATENATE(A39,B39)</f>
    </nc>
  </rcc>
  <rcc rId="1339" sId="4">
    <nc r="C40">
      <f>CONCATENATE(A40,B40)</f>
    </nc>
  </rcc>
  <rcc rId="1340" sId="4">
    <nc r="C41">
      <f>CONCATENATE(A41,B41)</f>
    </nc>
  </rcc>
  <rcc rId="1341" sId="4">
    <nc r="C42">
      <f>CONCATENATE(A42,B42)</f>
    </nc>
  </rcc>
  <rcc rId="1342" sId="4">
    <nc r="C43">
      <f>CONCATENATE(A43,B43)</f>
    </nc>
  </rcc>
  <rcc rId="1343" sId="4">
    <nc r="C44">
      <f>CONCATENATE(A44,B44)</f>
    </nc>
  </rcc>
  <rcc rId="1344" sId="4">
    <nc r="C45">
      <f>CONCATENATE(A45,B45)</f>
    </nc>
  </rcc>
  <rcc rId="1345" sId="4">
    <nc r="C46">
      <f>CONCATENATE(A46,B46)</f>
    </nc>
  </rcc>
  <rcc rId="1346" sId="4">
    <nc r="C47">
      <f>CONCATENATE(A47,B47)</f>
    </nc>
  </rcc>
  <rcc rId="1347" sId="4">
    <nc r="C48">
      <f>CONCATENATE(A48,B48)</f>
    </nc>
  </rcc>
  <rcc rId="1348" sId="4">
    <nc r="C49">
      <f>CONCATENATE(A49,B49)</f>
    </nc>
  </rcc>
  <rcc rId="1349" sId="4">
    <nc r="C50">
      <f>CONCATENATE(A50,B50)</f>
    </nc>
  </rcc>
  <rcc rId="1350" sId="4">
    <nc r="C51">
      <f>CONCATENATE(A51,B51)</f>
    </nc>
  </rcc>
  <rcc rId="1351" sId="4">
    <nc r="C52">
      <f>CONCATENATE(A52,B52)</f>
    </nc>
  </rcc>
  <rcc rId="1352" sId="4">
    <nc r="C53">
      <f>CONCATENATE(A53,B53)</f>
    </nc>
  </rcc>
  <rcc rId="1353" sId="4">
    <nc r="C54">
      <f>CONCATENATE(A54,B54)</f>
    </nc>
  </rcc>
  <rcc rId="1354" sId="4">
    <nc r="C55">
      <f>CONCATENATE(A55,B55)</f>
    </nc>
  </rcc>
  <rcc rId="1355" sId="4">
    <nc r="C56">
      <f>CONCATENATE(A56,B56)</f>
    </nc>
  </rcc>
  <rcc rId="1356" sId="4">
    <nc r="C57">
      <f>CONCATENATE(A57,B57)</f>
    </nc>
  </rcc>
  <rcc rId="1357" sId="4">
    <nc r="C58">
      <f>CONCATENATE(A58,B58)</f>
    </nc>
  </rcc>
  <rcc rId="1358" sId="4">
    <nc r="C59">
      <f>CONCATENATE(A59,B59)</f>
    </nc>
  </rcc>
  <rcc rId="1359" sId="4">
    <nc r="C60">
      <f>CONCATENATE(A60,B60)</f>
    </nc>
  </rcc>
  <rcc rId="1360" sId="4">
    <nc r="C61">
      <f>CONCATENATE(A61,B61)</f>
    </nc>
  </rcc>
  <rcc rId="1361" sId="4">
    <nc r="C62">
      <f>CONCATENATE(A62,B62)</f>
    </nc>
  </rcc>
  <rcc rId="1362" sId="4">
    <nc r="C63">
      <f>CONCATENATE(A63,B63)</f>
    </nc>
  </rcc>
  <rcc rId="1363" sId="4">
    <nc r="C64">
      <f>CONCATENATE(A64,B64)</f>
    </nc>
  </rcc>
  <rcc rId="1364" sId="4">
    <nc r="C65">
      <f>CONCATENATE(A65,B65)</f>
    </nc>
  </rcc>
  <rcc rId="1365" sId="4">
    <nc r="C66">
      <f>CONCATENATE(A66,B66)</f>
    </nc>
  </rcc>
  <rcc rId="1366" sId="4">
    <nc r="C67">
      <f>CONCATENATE(A67,B67)</f>
    </nc>
  </rcc>
  <rcc rId="1367" sId="4">
    <nc r="C68">
      <f>CONCATENATE(A68,B68)</f>
    </nc>
  </rcc>
  <rcc rId="1368" sId="4">
    <nc r="C69">
      <f>CONCATENATE(A69,B69)</f>
    </nc>
  </rcc>
  <rcc rId="1369" sId="4">
    <nc r="C70">
      <f>CONCATENATE(A70,B70)</f>
    </nc>
  </rcc>
  <rcc rId="1370" sId="4">
    <nc r="C71">
      <f>CONCATENATE(A71,B71)</f>
    </nc>
  </rcc>
  <rcc rId="1371" sId="4">
    <nc r="C72">
      <f>CONCATENATE(A72,B72)</f>
    </nc>
  </rcc>
  <rcc rId="1372" sId="4">
    <nc r="C73">
      <f>CONCATENATE(A73,B73)</f>
    </nc>
  </rcc>
  <rcc rId="1373" sId="4">
    <nc r="C74">
      <f>CONCATENATE(A74,B74)</f>
    </nc>
  </rcc>
  <rcc rId="1374" sId="4">
    <nc r="C75">
      <f>CONCATENATE(A75,B75)</f>
    </nc>
  </rcc>
  <rcc rId="1375" sId="4">
    <nc r="C76">
      <f>CONCATENATE(A76,B76)</f>
    </nc>
  </rcc>
  <rcc rId="1376" sId="4">
    <nc r="C77">
      <f>CONCATENATE(A77,B77)</f>
    </nc>
  </rcc>
  <rcc rId="1377" sId="4">
    <nc r="C78">
      <f>CONCATENATE(A78,B78)</f>
    </nc>
  </rcc>
  <rcc rId="1378" sId="4">
    <nc r="C79">
      <f>CONCATENATE(A79,B79)</f>
    </nc>
  </rcc>
  <rcc rId="1379" sId="4">
    <nc r="C80">
      <f>CONCATENATE(A80,B80)</f>
    </nc>
  </rcc>
  <rcc rId="1380" sId="4">
    <nc r="C81">
      <f>CONCATENATE(A81,B81)</f>
    </nc>
  </rcc>
  <rcc rId="1381" sId="4">
    <nc r="C82">
      <f>CONCATENATE(A82,B82)</f>
    </nc>
  </rcc>
  <rcc rId="1382" sId="4">
    <nc r="C83">
      <f>CONCATENATE(A83,B83)</f>
    </nc>
  </rcc>
  <rcc rId="1383" sId="4">
    <nc r="C84">
      <f>CONCATENATE(A84,B84)</f>
    </nc>
  </rcc>
  <rcc rId="1384" sId="4">
    <nc r="C85">
      <f>CONCATENATE(A85,B85)</f>
    </nc>
  </rcc>
  <rcc rId="1385" sId="4">
    <nc r="C86">
      <f>CONCATENATE(A86,B86)</f>
    </nc>
  </rcc>
  <rcc rId="1386" sId="4">
    <nc r="C87">
      <f>CONCATENATE(A87,B87)</f>
    </nc>
  </rcc>
  <rcc rId="1387" sId="4">
    <nc r="C88">
      <f>CONCATENATE(A88,B88)</f>
    </nc>
  </rcc>
  <rcc rId="1388" sId="4">
    <nc r="C89">
      <f>CONCATENATE(A89,B89)</f>
    </nc>
  </rcc>
  <rcc rId="1389" sId="4">
    <nc r="C90">
      <f>CONCATENATE(A90,B90)</f>
    </nc>
  </rcc>
  <rcc rId="1390" sId="4">
    <nc r="C91">
      <f>CONCATENATE(A91,B91)</f>
    </nc>
  </rcc>
  <rcc rId="1391" sId="4">
    <nc r="C92">
      <f>CONCATENATE(A92,B92)</f>
    </nc>
  </rcc>
  <rcc rId="1392" sId="4">
    <nc r="C93">
      <f>CONCATENATE(A93,B93)</f>
    </nc>
  </rcc>
  <rcc rId="1393" sId="4">
    <nc r="C94">
      <f>CONCATENATE(A94,B94)</f>
    </nc>
  </rcc>
  <rcc rId="1394" sId="4">
    <nc r="C95">
      <f>CONCATENATE(A95,B95)</f>
    </nc>
  </rcc>
  <rcc rId="1395" sId="4">
    <nc r="C96">
      <f>CONCATENATE(A96,B96)</f>
    </nc>
  </rcc>
  <rcc rId="1396" sId="4">
    <nc r="C97">
      <f>CONCATENATE(A97,B97)</f>
    </nc>
  </rcc>
  <rcc rId="1397" sId="4">
    <nc r="C98">
      <f>CONCATENATE(A98,B98)</f>
    </nc>
  </rcc>
  <rcc rId="1398" sId="4">
    <nc r="E70" t="inlineStr">
      <is>
        <t>5,</t>
      </is>
    </nc>
  </rcc>
  <rcc rId="1399" sId="4">
    <nc r="F70" t="inlineStr">
      <is>
        <t>6,</t>
      </is>
    </nc>
  </rcc>
  <rcc rId="1400" sId="4">
    <nc r="G70" t="inlineStr">
      <is>
        <t>8,</t>
      </is>
    </nc>
  </rcc>
  <rcc rId="1401" sId="4">
    <nc r="H70" t="inlineStr">
      <is>
        <t>22,</t>
      </is>
    </nc>
  </rcc>
  <rcc rId="1402" sId="4">
    <nc r="I70" t="inlineStr">
      <is>
        <t>31,</t>
      </is>
    </nc>
  </rcc>
  <rcc rId="1403" sId="4">
    <nc r="J70" t="inlineStr">
      <is>
        <t>32,</t>
      </is>
    </nc>
  </rcc>
  <rcc rId="1404" sId="4">
    <nc r="K70" t="inlineStr">
      <is>
        <t>36,</t>
      </is>
    </nc>
  </rcc>
  <rcc rId="1405" sId="4">
    <nc r="L70" t="inlineStr">
      <is>
        <t>46,</t>
      </is>
    </nc>
  </rcc>
  <rcc rId="1406" sId="4">
    <nc r="M70" t="inlineStr">
      <is>
        <t>60,</t>
      </is>
    </nc>
  </rcc>
  <rcc rId="1407" sId="4">
    <nc r="N70" t="inlineStr">
      <is>
        <t>61,</t>
      </is>
    </nc>
  </rcc>
  <rcc rId="1408" sId="4">
    <nc r="O70" t="inlineStr">
      <is>
        <t>67,</t>
      </is>
    </nc>
  </rcc>
  <rcc rId="1409" sId="4">
    <nc r="P70" t="inlineStr">
      <is>
        <t>107,</t>
      </is>
    </nc>
  </rcc>
  <rcc rId="1410" sId="4">
    <nc r="Q70" t="inlineStr">
      <is>
        <t>181,</t>
      </is>
    </nc>
  </rcc>
  <rcc rId="1411" sId="4">
    <nc r="R70" t="inlineStr">
      <is>
        <t>192,</t>
      </is>
    </nc>
  </rcc>
  <rcc rId="1412" sId="4">
    <nc r="S70" t="inlineStr">
      <is>
        <t>231,</t>
      </is>
    </nc>
  </rcc>
  <rcc rId="1413" sId="4">
    <nc r="T70" t="inlineStr">
      <is>
        <t>234,</t>
      </is>
    </nc>
  </rcc>
  <rcc rId="1414" sId="4">
    <nc r="U70" t="inlineStr">
      <is>
        <t>269,</t>
      </is>
    </nc>
  </rcc>
  <rcc rId="1415" sId="4">
    <nc r="V70" t="inlineStr">
      <is>
        <t>296,</t>
      </is>
    </nc>
  </rcc>
  <rcc rId="1416" sId="4">
    <nc r="W70" t="inlineStr">
      <is>
        <t>311,</t>
      </is>
    </nc>
  </rcc>
  <rcc rId="1417" sId="4">
    <nc r="X70" t="inlineStr">
      <is>
        <t>312,</t>
      </is>
    </nc>
  </rcc>
  <rcc rId="1418" sId="4">
    <nc r="Y70" t="inlineStr">
      <is>
        <t>315,</t>
      </is>
    </nc>
  </rcc>
  <rcc rId="1419" sId="4">
    <nc r="Z70" t="inlineStr">
      <is>
        <t>316,</t>
      </is>
    </nc>
  </rcc>
  <rcc rId="1420" sId="4">
    <nc r="AA70" t="inlineStr">
      <is>
        <t>323,</t>
      </is>
    </nc>
  </rcc>
  <rcc rId="1421" sId="4">
    <nc r="AB70" t="inlineStr">
      <is>
        <t>365,</t>
      </is>
    </nc>
  </rcc>
  <rcc rId="1422" sId="4">
    <nc r="AC70" t="inlineStr">
      <is>
        <t>380,</t>
      </is>
    </nc>
  </rcc>
  <rcc rId="1423" sId="4">
    <nc r="AD70" t="inlineStr">
      <is>
        <t>404,</t>
      </is>
    </nc>
  </rcc>
  <rcc rId="1424" sId="4">
    <nc r="AE70" t="inlineStr">
      <is>
        <t>406,</t>
      </is>
    </nc>
  </rcc>
  <rcc rId="1425" sId="4">
    <nc r="AF70" t="inlineStr">
      <is>
        <t>408,</t>
      </is>
    </nc>
  </rcc>
  <rcc rId="1426" sId="4">
    <nc r="AG70" t="inlineStr">
      <is>
        <t>410,</t>
      </is>
    </nc>
  </rcc>
  <rcc rId="1427" sId="4">
    <nc r="AH70" t="inlineStr">
      <is>
        <t>411,</t>
      </is>
    </nc>
  </rcc>
  <rcc rId="1428" sId="4">
    <nc r="AI70" t="inlineStr">
      <is>
        <t>413,</t>
      </is>
    </nc>
  </rcc>
  <rcc rId="1429" sId="4">
    <nc r="AJ70" t="inlineStr">
      <is>
        <t>415,</t>
      </is>
    </nc>
  </rcc>
  <rcc rId="1430" sId="4">
    <nc r="AK70" t="inlineStr">
      <is>
        <t>416,</t>
      </is>
    </nc>
  </rcc>
  <rcc rId="1431" sId="4">
    <nc r="AL70" t="inlineStr">
      <is>
        <t>417,</t>
      </is>
    </nc>
  </rcc>
  <rcc rId="1432" sId="4">
    <nc r="AM70" t="inlineStr">
      <is>
        <t>419,</t>
      </is>
    </nc>
  </rcc>
  <rcc rId="1433" sId="4">
    <nc r="AN70" t="inlineStr">
      <is>
        <t>453,</t>
      </is>
    </nc>
  </rcc>
  <rcc rId="1434" sId="4">
    <nc r="AO70" t="inlineStr">
      <is>
        <t>454,</t>
      </is>
    </nc>
  </rcc>
  <rcc rId="1435" sId="4">
    <nc r="AP70" t="inlineStr">
      <is>
        <t>476,</t>
      </is>
    </nc>
  </rcc>
  <rcc rId="1436" sId="4">
    <nc r="AQ70" t="inlineStr">
      <is>
        <t>481,</t>
      </is>
    </nc>
  </rcc>
  <rcc rId="1437" sId="4">
    <nc r="AR70" t="inlineStr">
      <is>
        <t>499,</t>
      </is>
    </nc>
  </rcc>
  <rcc rId="1438" sId="4">
    <nc r="AS70" t="inlineStr">
      <is>
        <t>501,</t>
      </is>
    </nc>
  </rcc>
  <rcc rId="1439" sId="4">
    <nc r="AT70" t="inlineStr">
      <is>
        <t>529,</t>
      </is>
    </nc>
  </rcc>
  <rcc rId="1440" sId="4">
    <nc r="AU70" t="inlineStr">
      <is>
        <t>554,</t>
      </is>
    </nc>
  </rcc>
  <rcc rId="1441" sId="4">
    <nc r="AV70" t="inlineStr">
      <is>
        <t>586,</t>
      </is>
    </nc>
  </rcc>
  <rcc rId="1442" sId="4">
    <nc r="AW70" t="inlineStr">
      <is>
        <t>590,</t>
      </is>
    </nc>
  </rcc>
  <rcc rId="1443" sId="4">
    <nc r="AX70" t="inlineStr">
      <is>
        <t>593,</t>
      </is>
    </nc>
  </rcc>
  <rcc rId="1444" sId="4">
    <nc r="AY70" t="inlineStr">
      <is>
        <t>596,</t>
      </is>
    </nc>
  </rcc>
  <rcc rId="1445" sId="4">
    <nc r="AZ70" t="inlineStr">
      <is>
        <t>604,</t>
      </is>
    </nc>
  </rcc>
  <rcc rId="1446" sId="4">
    <nc r="BA70" t="inlineStr">
      <is>
        <t>670,</t>
      </is>
    </nc>
  </rcc>
  <rcc rId="1447" sId="4">
    <nc r="BB70" t="inlineStr">
      <is>
        <t>674,</t>
      </is>
    </nc>
  </rcc>
  <rcc rId="1448" sId="4">
    <nc r="BC70" t="inlineStr">
      <is>
        <t>680,</t>
      </is>
    </nc>
  </rcc>
  <rcc rId="1449" sId="4">
    <nc r="BD70" t="inlineStr">
      <is>
        <t>681,</t>
      </is>
    </nc>
  </rcc>
  <rcc rId="1450" sId="4">
    <nc r="BE70" t="inlineStr">
      <is>
        <t>682,</t>
      </is>
    </nc>
  </rcc>
  <rcc rId="1451" sId="4">
    <nc r="BF70" t="inlineStr">
      <is>
        <t>683,</t>
      </is>
    </nc>
  </rcc>
  <rcc rId="1452" sId="4">
    <nc r="BG70" t="inlineStr">
      <is>
        <t>689,</t>
      </is>
    </nc>
  </rcc>
  <rcc rId="1453" sId="4">
    <nc r="BH70" t="inlineStr">
      <is>
        <t>691,</t>
      </is>
    </nc>
  </rcc>
  <rcc rId="1454" sId="4">
    <nc r="BI70" t="inlineStr">
      <is>
        <t>695,</t>
      </is>
    </nc>
  </rcc>
  <rcc rId="1455" sId="4">
    <nc r="BJ70" t="inlineStr">
      <is>
        <t>699,</t>
      </is>
    </nc>
  </rcc>
  <rcc rId="1456" sId="4">
    <nc r="BK70" t="inlineStr">
      <is>
        <t>702,</t>
      </is>
    </nc>
  </rcc>
  <rcc rId="1457" sId="4">
    <nc r="BL70" t="inlineStr">
      <is>
        <t>705,</t>
      </is>
    </nc>
  </rcc>
  <rcc rId="1458" sId="4">
    <nc r="BM70" t="inlineStr">
      <is>
        <t>707,</t>
      </is>
    </nc>
  </rcc>
  <rcc rId="1459" sId="4">
    <nc r="BN70" t="inlineStr">
      <is>
        <t>709,</t>
      </is>
    </nc>
  </rcc>
  <rcc rId="1460" sId="4">
    <nc r="BO70" t="inlineStr">
      <is>
        <t>759,</t>
      </is>
    </nc>
  </rcc>
  <rcc rId="1461" sId="4">
    <nc r="BP70" t="inlineStr">
      <is>
        <t>762,</t>
      </is>
    </nc>
  </rcc>
  <rcc rId="1462" sId="4">
    <nc r="BQ70" t="inlineStr">
      <is>
        <t>768,</t>
      </is>
    </nc>
  </rcc>
  <rcc rId="1463" sId="4">
    <nc r="BR70" t="inlineStr">
      <is>
        <t>770,</t>
      </is>
    </nc>
  </rcc>
  <rcc rId="1464" sId="4">
    <nc r="BS70" t="inlineStr">
      <is>
        <t>776,</t>
      </is>
    </nc>
  </rcc>
  <rcc rId="1465" sId="4">
    <nc r="BT70" t="inlineStr">
      <is>
        <t>786,</t>
      </is>
    </nc>
  </rcc>
  <rcc rId="1466" sId="4">
    <nc r="BU70" t="inlineStr">
      <is>
        <t>787,</t>
      </is>
    </nc>
  </rcc>
  <rcc rId="1467" sId="4">
    <nc r="BV70" t="inlineStr">
      <is>
        <t>796,</t>
      </is>
    </nc>
  </rcc>
  <rcc rId="1468" sId="4">
    <nc r="BW70" t="inlineStr">
      <is>
        <t>808,</t>
      </is>
    </nc>
  </rcc>
  <rcc rId="1469" sId="4">
    <nc r="BX70" t="inlineStr">
      <is>
        <t>818,</t>
      </is>
    </nc>
  </rcc>
  <rcc rId="1470" sId="4">
    <nc r="BY70" t="inlineStr">
      <is>
        <t>828,</t>
      </is>
    </nc>
  </rcc>
  <rcc rId="1471" sId="4">
    <nc r="BZ70" t="inlineStr">
      <is>
        <t>835,</t>
      </is>
    </nc>
  </rcc>
  <rcc rId="1472" sId="4">
    <nc r="CA70" t="inlineStr">
      <is>
        <t>838,</t>
      </is>
    </nc>
  </rcc>
  <rcc rId="1473" sId="4">
    <nc r="CB70" t="inlineStr">
      <is>
        <t>840,</t>
      </is>
    </nc>
  </rcc>
  <rcc rId="1474" sId="4">
    <nc r="CC70" t="inlineStr">
      <is>
        <t>841,</t>
      </is>
    </nc>
  </rcc>
  <rcc rId="1475" sId="4">
    <nc r="CD70" t="inlineStr">
      <is>
        <t>844,</t>
      </is>
    </nc>
  </rcc>
  <rcc rId="1476" sId="4">
    <nc r="CE70" t="inlineStr">
      <is>
        <t>847,</t>
      </is>
    </nc>
  </rcc>
  <rcc rId="1477" sId="4">
    <nc r="CF70" t="inlineStr">
      <is>
        <t>853,</t>
      </is>
    </nc>
  </rcc>
  <rcc rId="1478" sId="4">
    <nc r="CG70" t="inlineStr">
      <is>
        <t>857,</t>
      </is>
    </nc>
  </rcc>
  <rcc rId="1479" sId="4">
    <nc r="CH70" t="inlineStr">
      <is>
        <t>870,</t>
      </is>
    </nc>
  </rcc>
  <rcc rId="1480" sId="4">
    <nc r="CI70" t="inlineStr">
      <is>
        <t>871,</t>
      </is>
    </nc>
  </rcc>
  <rcc rId="1481" sId="4">
    <nc r="CJ70" t="inlineStr">
      <is>
        <t>873,</t>
      </is>
    </nc>
  </rcc>
  <rcc rId="1482" sId="4">
    <nc r="CK70" t="inlineStr">
      <is>
        <t>874,</t>
      </is>
    </nc>
  </rcc>
  <rcc rId="1483" sId="4">
    <nc r="CL70" t="inlineStr">
      <is>
        <t>875,</t>
      </is>
    </nc>
  </rcc>
  <rcc rId="1484" sId="4">
    <nc r="CM70" t="inlineStr">
      <is>
        <t>877,</t>
      </is>
    </nc>
  </rcc>
  <rcc rId="1485" sId="4">
    <nc r="CN70" t="inlineStr">
      <is>
        <t>878,</t>
      </is>
    </nc>
  </rcc>
  <rcc rId="1486" sId="4">
    <nc r="CO70" t="inlineStr">
      <is>
        <t>881,</t>
      </is>
    </nc>
  </rcc>
  <rcc rId="1487" sId="4">
    <nc r="CP70" t="inlineStr">
      <is>
        <t>882,</t>
      </is>
    </nc>
  </rcc>
  <rcc rId="1488" sId="4">
    <nc r="CQ70" t="inlineStr">
      <is>
        <t>884,</t>
      </is>
    </nc>
  </rcc>
  <rcc rId="1489" sId="4">
    <nc r="CR70" t="inlineStr">
      <is>
        <t>885,</t>
      </is>
    </nc>
  </rcc>
  <rcc rId="1490" sId="4">
    <nc r="CS70" t="inlineStr">
      <is>
        <t>887,</t>
      </is>
    </nc>
  </rcc>
  <rcc rId="1491" sId="4">
    <nc r="CT70" t="inlineStr">
      <is>
        <t>888,</t>
      </is>
    </nc>
  </rcc>
  <rcc rId="1492" sId="4">
    <nc r="CU70" t="inlineStr">
      <is>
        <t>893,</t>
      </is>
    </nc>
  </rcc>
  <rcc rId="1493" sId="4">
    <nc r="CV70" t="inlineStr">
      <is>
        <t>894,</t>
      </is>
    </nc>
  </rcc>
  <rcc rId="1494" sId="1" odxf="1" dxf="1">
    <oc r="G370" t="inlineStr">
      <is>
        <t>THAI</t>
      </is>
    </oc>
    <nc r="G370" t="inlineStr">
      <is>
        <t>CARL</t>
      </is>
    </nc>
    <ndxf>
      <font>
        <sz val="8"/>
        <color auto="1"/>
        <name val="Arial"/>
        <scheme val="none"/>
      </font>
      <fill>
        <patternFill>
          <bgColor rgb="FF00B050"/>
        </patternFill>
      </fill>
    </ndxf>
  </rcc>
  <rcc rId="1495" sId="1" odxf="1" dxf="1">
    <oc r="G11" t="inlineStr">
      <is>
        <t>THAI</t>
      </is>
    </oc>
    <nc r="G11"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496" sId="1" odxf="1" dxf="1">
    <oc r="G12" t="inlineStr">
      <is>
        <t>THAI</t>
      </is>
    </oc>
    <nc r="G12"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497" sId="1" odxf="1" dxf="1">
    <oc r="G27" t="inlineStr">
      <is>
        <t>THAI</t>
      </is>
    </oc>
    <nc r="G27"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498" sId="1" odxf="1" dxf="1">
    <oc r="G29" t="inlineStr">
      <is>
        <t>THAI</t>
      </is>
    </oc>
    <nc r="G29"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499" sId="1" odxf="1" dxf="1">
    <oc r="G33" t="inlineStr">
      <is>
        <t>THAI</t>
      </is>
    </oc>
    <nc r="G33"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0" sId="1" odxf="1" dxf="1">
    <oc r="G49" t="inlineStr">
      <is>
        <t>THAI</t>
      </is>
    </oc>
    <nc r="G49"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1" sId="1" odxf="1" dxf="1">
    <oc r="G57" t="inlineStr">
      <is>
        <t>THAI</t>
      </is>
    </oc>
    <nc r="G57"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2" sId="1" odxf="1" dxf="1">
    <oc r="G64" t="inlineStr">
      <is>
        <t>THAI</t>
      </is>
    </oc>
    <nc r="G64"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3" sId="1" odxf="1" dxf="1">
    <oc r="G117" t="inlineStr">
      <is>
        <t>THAI</t>
      </is>
    </oc>
    <nc r="G117"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4" sId="1" odxf="1" dxf="1">
    <oc r="G120" t="inlineStr">
      <is>
        <t>THAI</t>
      </is>
    </oc>
    <nc r="G120"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5" sId="1" odxf="1" dxf="1">
    <oc r="G121" t="inlineStr">
      <is>
        <t>THAI</t>
      </is>
    </oc>
    <nc r="G121"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6" sId="1" odxf="1" dxf="1">
    <oc r="G126" t="inlineStr">
      <is>
        <t>THAI</t>
      </is>
    </oc>
    <nc r="G126"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7" sId="1" odxf="1" dxf="1">
    <oc r="G137" t="inlineStr">
      <is>
        <t>THAI</t>
      </is>
    </oc>
    <nc r="G137"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8" sId="1" odxf="1" dxf="1">
    <oc r="G142" t="inlineStr">
      <is>
        <t>THAI</t>
      </is>
    </oc>
    <nc r="G142"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09" sId="1" odxf="1" dxf="1">
    <oc r="G143" t="inlineStr">
      <is>
        <t>THAI</t>
      </is>
    </oc>
    <nc r="G143"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0" sId="1" odxf="1" dxf="1">
    <oc r="G196" t="inlineStr">
      <is>
        <t>THAI</t>
      </is>
    </oc>
    <nc r="G196"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1" sId="1" odxf="1" dxf="1">
    <oc r="G201" t="inlineStr">
      <is>
        <t>THAI</t>
      </is>
    </oc>
    <nc r="G201"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2" sId="1" odxf="1" dxf="1">
    <oc r="G230" t="inlineStr">
      <is>
        <t>THAI</t>
      </is>
    </oc>
    <nc r="G230"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3" sId="1" odxf="1" dxf="1">
    <oc r="G255" t="inlineStr">
      <is>
        <t>THAI</t>
      </is>
    </oc>
    <nc r="G255"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4" sId="1" odxf="1" dxf="1">
    <oc r="G292" t="inlineStr">
      <is>
        <t>THAI</t>
      </is>
    </oc>
    <nc r="G292"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5" sId="1" odxf="1" dxf="1">
    <oc r="G306" t="inlineStr">
      <is>
        <t>THAI</t>
      </is>
    </oc>
    <nc r="G306"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6" sId="1" odxf="1" dxf="1">
    <oc r="G307" t="inlineStr">
      <is>
        <t>THAI</t>
      </is>
    </oc>
    <nc r="G307"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7" sId="1" odxf="1" dxf="1">
    <oc r="G317" t="inlineStr">
      <is>
        <t>THAI</t>
      </is>
    </oc>
    <nc r="G317"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8" sId="1" odxf="1" dxf="1">
    <oc r="G319" t="inlineStr">
      <is>
        <t>THAI</t>
      </is>
    </oc>
    <nc r="G319"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19" sId="1" odxf="1" dxf="1">
    <oc r="G325" t="inlineStr">
      <is>
        <t>THAI</t>
      </is>
    </oc>
    <nc r="G325"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20" sId="1" odxf="1" dxf="1">
    <oc r="G355" t="inlineStr">
      <is>
        <t>THAI</t>
      </is>
    </oc>
    <nc r="G355"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21" sId="1" odxf="1" dxf="1">
    <oc r="G410" t="inlineStr">
      <is>
        <t>THAI</t>
      </is>
    </oc>
    <nc r="G410" t="inlineStr">
      <is>
        <t>CARL</t>
      </is>
    </nc>
    <odxf>
      <font>
        <sz val="9"/>
        <color auto="1"/>
        <name val="Arial"/>
        <scheme val="none"/>
      </font>
      <fill>
        <patternFill>
          <bgColor theme="7"/>
        </patternFill>
      </fill>
    </odxf>
    <ndxf>
      <font>
        <sz val="8"/>
        <color auto="1"/>
        <name val="Arial"/>
        <scheme val="none"/>
      </font>
      <fill>
        <patternFill>
          <bgColor rgb="FF00B050"/>
        </patternFill>
      </fill>
    </ndxf>
  </rcc>
  <rcc rId="1522" sId="1" odxf="1" dxf="1">
    <oc r="G415" t="inlineStr">
      <is>
        <t>THAI</t>
      </is>
    </oc>
    <nc r="G415" t="inlineStr">
      <is>
        <t>CARL</t>
      </is>
    </nc>
    <odxf>
      <font>
        <sz val="9"/>
        <color auto="1"/>
        <name val="Arial"/>
        <scheme val="none"/>
      </font>
      <fill>
        <patternFill>
          <bgColor theme="7"/>
        </patternFill>
      </fill>
    </odxf>
    <ndxf>
      <font>
        <sz val="8"/>
        <color auto="1"/>
        <name val="Arial"/>
        <scheme val="none"/>
      </font>
      <fill>
        <patternFill>
          <bgColor rgb="FF00B050"/>
        </patternFill>
      </fill>
    </ndxf>
  </rcc>
  <rfmt sheetId="1" sqref="B376">
    <dxf>
      <alignment horizontal="left" readingOrder="0"/>
    </dxf>
  </rfmt>
  <rcc rId="1523" sId="1">
    <oc r="B376" t="inlineStr">
      <is>
        <t>Maikon ferreira de sousa</t>
      </is>
    </oc>
    <nc r="B376">
      <v>0.86399999999999999</v>
    </nc>
  </rcc>
  <rcc rId="1524" sId="1">
    <oc r="L197" t="inlineStr">
      <is>
        <r>
          <t xml:space="preserve">Recibo e-social (   )                                                                                                       Recarga Astransp 4 Vts 3 X POR SEMANA                                                    Login 72938277687 senha 12345                                                            </t>
        </r>
        <r>
          <rPr>
            <b/>
            <sz val="8"/>
            <rFont val="Arial"/>
            <family val="2"/>
          </rPr>
          <t xml:space="preserve"> </t>
        </r>
        <r>
          <rPr>
            <b/>
            <sz val="8"/>
            <color rgb="FFFF0000"/>
            <rFont val="Arial"/>
            <family val="2"/>
          </rPr>
          <t>Não tem desconto de VT na folha de pagamento - BILHETE UNICO</t>
        </r>
      </is>
    </oc>
    <nc r="L197" t="inlineStr">
      <is>
        <r>
          <t xml:space="preserve">Recibo e-social (   )                                                                                                       Recarga Astransp 4 Vts 3 X POR SEMANA                                                    Login 72938277687 senha 12345                                                            </t>
        </r>
        <r>
          <rPr>
            <b/>
            <sz val="8"/>
            <rFont val="Arial"/>
            <family val="2"/>
          </rPr>
          <t xml:space="preserve"> </t>
        </r>
        <r>
          <rPr>
            <b/>
            <sz val="8"/>
            <color rgb="FFFF0000"/>
            <rFont val="Arial"/>
            <family val="2"/>
          </rPr>
          <t>Não tem desconto de VT na folha de pagamento - BILHETE UNICO - afastada</t>
        </r>
      </is>
    </nc>
  </rcc>
  <rcc rId="1525" sId="1">
    <oc r="L291" t="inlineStr">
      <is>
        <t>(   ) GPS    (   ) FGTS  (   ) RECIBO                                                                              (    ) BOLETO VT - 3 VTS -  SEG A SEXTA  Bilhete único</t>
      </is>
    </oc>
    <nc r="L291" t="inlineStr">
      <is>
        <t>(   ) GPS    (   ) FGTS  (   ) RECIBO                                                                              (    ) BOLETO VT - 3 VTS -  SEG A SEXTA  Bilhete único - Funcionario de licença maternidade</t>
      </is>
    </nc>
  </rcc>
  <rcv guid="{DAEEB123-9C5D-4BF0-8F09-E7DEBC62D826}" action="delete"/>
  <rdn rId="0" localSheetId="1" customView="1" name="Z_DAEEB123_9C5D_4BF0_8F09_E7DEBC62D826_.wvu.Cols" hidden="1" oldHidden="1">
    <formula>'Controle Empresas'!$D:$F</formula>
    <oldFormula>'Controle Empresas'!$D:$F</oldFormula>
  </rdn>
  <rdn rId="0" localSheetId="1" customView="1" name="Z_DAEEB123_9C5D_4BF0_8F09_E7DEBC62D826_.wvu.FilterData" hidden="1" oldHidden="1">
    <formula>'Controle Empresas'!$A$1:$M$416</formula>
    <oldFormula>'Controle Empresas'!$A$1:$M$416</oldFormula>
  </rdn>
  <rcv guid="{DAEEB123-9C5D-4BF0-8F09-E7DEBC62D826}"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528" sId="1" ref="A401:XFD401"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E$1:$E$1048576" dn="Z_DFB7C661_5C1D_4491_B5BB_D24125818F62_.wvu.Cols" sId="1"/>
    <undo index="0" exp="area" ref3D="1" dr="$D$1:$F$1048576" dn="Z_DAEEB123_9C5D_4BF0_8F09_E7DEBC62D826_.wvu.Cols" sId="1"/>
  </rrc>
  <rcc rId="1529" sId="1">
    <nc r="B401" t="inlineStr">
      <is>
        <t xml:space="preserve">TRAVEL &amp; O VIAGENS E TURISMO LTDA </t>
      </is>
    </nc>
  </rcc>
  <rcc rId="1530" sId="1">
    <nc r="G401" t="inlineStr">
      <is>
        <t>CARL</t>
      </is>
    </nc>
  </rcc>
  <rcc rId="1531" sId="1">
    <nc r="H401" t="inlineStr">
      <is>
        <t>N</t>
      </is>
    </nc>
  </rcc>
  <rcc rId="1532" sId="1">
    <nc r="I401" t="inlineStr">
      <is>
        <t>PRO-LABORE</t>
      </is>
    </nc>
  </rcc>
  <rcc rId="1533" sId="1">
    <nc r="J401">
      <v>28</v>
    </nc>
  </rcc>
  <rrc rId="1534" sId="1" ref="A400:XFD400"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E$1:$E$1048576" dn="Z_DFB7C661_5C1D_4491_B5BB_D24125818F62_.wvu.Cols" sId="1"/>
    <undo index="0" exp="area" ref3D="1" dr="$D$1:$F$1048576" dn="Z_DAEEB123_9C5D_4BF0_8F09_E7DEBC62D826_.wvu.Cols" sId="1"/>
  </rrc>
  <rm rId="1535" sheetId="1" source="A402:XFD402" destination="A400:XFD400" sourceSheetId="1">
    <rfmt sheetId="1" xfDxf="1" sqref="A400:XFD400" start="0" length="0">
      <dxf>
        <font>
          <sz val="9"/>
          <name val="Arial"/>
          <scheme val="none"/>
        </font>
      </dxf>
    </rfmt>
    <rfmt sheetId="1" sqref="A400" start="0" length="0">
      <dxf>
        <font>
          <sz val="9"/>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dxf>
    </rfmt>
    <rfmt sheetId="1" sqref="B400"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1" s="1" sqref="C400" start="0" length="0">
      <dxf>
        <font>
          <u/>
          <sz val="9"/>
          <color theme="10"/>
          <name val="Arial"/>
          <scheme val="none"/>
        </font>
        <alignment horizontal="center" vertical="center" readingOrder="0"/>
        <border outline="0">
          <left style="thin">
            <color indexed="64"/>
          </left>
          <right style="thin">
            <color indexed="64"/>
          </right>
          <bottom style="thin">
            <color indexed="64"/>
          </bottom>
        </border>
      </dxf>
    </rfmt>
    <rfmt sheetId="1" s="1" sqref="D400"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fmt sheetId="1" s="1" sqref="E400"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fmt sheetId="1" s="1" sqref="F400" start="0" length="0">
      <dxf>
        <font>
          <u/>
          <sz val="9"/>
          <color theme="10"/>
          <name val="Arial"/>
          <scheme val="none"/>
        </font>
        <alignment horizontal="center" vertical="center" readingOrder="0"/>
        <border outline="0">
          <left style="thin">
            <color indexed="64"/>
          </left>
          <right style="thin">
            <color indexed="64"/>
          </right>
          <top style="thin">
            <color indexed="64"/>
          </top>
        </border>
      </dxf>
    </rfmt>
    <rfmt sheetId="1" sqref="G400" start="0" length="0">
      <dxf>
        <font>
          <b/>
          <sz val="9"/>
          <color auto="1"/>
          <name val="Arial"/>
          <scheme val="none"/>
        </font>
        <fill>
          <patternFill patternType="solid">
            <bgColor theme="7"/>
          </patternFill>
        </fill>
        <alignment horizontal="center" vertical="center" wrapText="1" readingOrder="0"/>
        <border outline="0">
          <left style="thin">
            <color indexed="64"/>
          </left>
          <right style="thin">
            <color indexed="64"/>
          </right>
          <top style="thin">
            <color indexed="64"/>
          </top>
        </border>
      </dxf>
    </rfmt>
    <rfmt sheetId="1" sqref="H400" start="0" length="0">
      <dxf>
        <font>
          <sz val="9"/>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dxf>
    </rfmt>
    <rfmt sheetId="1" sqref="I400"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J400" start="0" length="0">
      <dxf>
        <font>
          <sz val="9"/>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dxf>
    </rfmt>
    <rfmt sheetId="1" sqref="K400" start="0" length="0">
      <dxf>
        <font>
          <sz val="9"/>
          <color auto="1"/>
          <name val="Arial"/>
          <scheme val="none"/>
        </font>
        <fill>
          <patternFill patternType="solid">
            <bgColor theme="0" tint="-0.34998626667073579"/>
          </patternFill>
        </fill>
        <alignment horizontal="center" vertical="center" wrapText="1" shrinkToFit="1" readingOrder="0"/>
        <border outline="0">
          <left style="thin">
            <color indexed="64"/>
          </left>
          <right style="thin">
            <color indexed="64"/>
          </right>
          <top style="thin">
            <color indexed="64"/>
          </top>
          <bottom style="thin">
            <color indexed="64"/>
          </bottom>
        </border>
      </dxf>
    </rfmt>
    <rfmt sheetId="1" sqref="L400" start="0" length="0">
      <dxf>
        <font>
          <sz val="9"/>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dxf>
    </rfmt>
  </rm>
  <rrc rId="1536" sId="1" ref="A402:XFD402" action="delete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E$1:$E$1048576" dn="Z_DFB7C661_5C1D_4491_B5BB_D24125818F62_.wvu.Cols" sId="1"/>
    <undo index="0" exp="area" ref3D="1" dr="$D$1:$F$1048576" dn="Z_DAEEB123_9C5D_4BF0_8F09_E7DEBC62D826_.wvu.Cols" sId="1"/>
    <rfmt sheetId="1" xfDxf="1" sqref="A402:XFD402" start="0" length="0">
      <dxf>
        <font>
          <sz val="12"/>
          <name val="Arial"/>
          <scheme val="none"/>
        </font>
      </dxf>
    </rfmt>
    <rfmt sheetId="1" sqref="A402" start="0" length="0">
      <dxf>
        <font>
          <sz val="12"/>
          <color auto="1"/>
          <name val="Arial"/>
          <scheme val="none"/>
        </font>
        <fill>
          <patternFill patternType="solid">
            <bgColor theme="0"/>
          </patternFill>
        </fill>
        <alignment horizontal="center" vertical="center" readingOrder="0"/>
      </dxf>
    </rfmt>
    <rfmt sheetId="1" sqref="B402" start="0" length="0">
      <dxf>
        <font>
          <sz val="12"/>
          <color auto="1"/>
          <name val="Arial"/>
          <scheme val="none"/>
        </font>
        <fill>
          <patternFill patternType="solid">
            <bgColor theme="0"/>
          </patternFill>
        </fill>
        <alignment horizontal="left" vertical="center" wrapText="1" readingOrder="0"/>
      </dxf>
    </rfmt>
    <rfmt sheetId="1" sqref="C402" start="0" length="0">
      <dxf>
        <font>
          <sz val="9"/>
          <name val="Arial"/>
          <scheme val="none"/>
        </font>
        <alignment horizontal="center" vertical="center" readingOrder="0"/>
      </dxf>
    </rfmt>
    <rfmt sheetId="1" sqref="D402" start="0" length="0">
      <dxf>
        <font>
          <sz val="9"/>
          <name val="Arial"/>
          <scheme val="none"/>
        </font>
        <alignment horizontal="center" vertical="center" readingOrder="0"/>
      </dxf>
    </rfmt>
    <rfmt sheetId="1" sqref="E402" start="0" length="0">
      <dxf>
        <font>
          <sz val="9"/>
          <name val="Arial"/>
          <scheme val="none"/>
        </font>
        <alignment horizontal="center" vertical="center" readingOrder="0"/>
      </dxf>
    </rfmt>
    <rfmt sheetId="1" sqref="F402" start="0" length="0">
      <dxf>
        <font>
          <sz val="9"/>
          <name val="Arial"/>
          <scheme val="none"/>
        </font>
        <alignment horizontal="center" vertical="center" readingOrder="0"/>
      </dxf>
    </rfmt>
    <rfmt sheetId="1" sqref="H402" start="0" length="0">
      <dxf>
        <alignment horizontal="center" vertical="center" readingOrder="0"/>
      </dxf>
    </rfmt>
    <rfmt sheetId="1" sqref="I402" start="0" length="0">
      <dxf>
        <fill>
          <patternFill patternType="solid">
            <bgColor theme="0"/>
          </patternFill>
        </fill>
        <alignment horizontal="center" vertical="center" readingOrder="0"/>
      </dxf>
    </rfmt>
    <rfmt sheetId="1" sqref="J402" start="0" length="0">
      <dxf>
        <alignment horizontal="center" vertical="center" readingOrder="0"/>
      </dxf>
    </rfmt>
    <rfmt sheetId="1" sqref="L402" start="0" length="0">
      <dxf>
        <alignment vertical="center" readingOrder="0"/>
      </dxf>
    </rfmt>
  </rrc>
  <rcc rId="1537" sId="1">
    <nc r="A400">
      <v>906</v>
    </nc>
  </rcc>
  <rrc rId="1538" sId="1" ref="A400:XFD400"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E$1:$E$1048576" dn="Z_DFB7C661_5C1D_4491_B5BB_D24125818F62_.wvu.Cols" sId="1"/>
    <undo index="0" exp="area" ref3D="1" dr="$D$1:$F$1048576" dn="Z_DAEEB123_9C5D_4BF0_8F09_E7DEBC62D826_.wvu.Cols" sId="1"/>
  </rrc>
  <rcc rId="1539" sId="1">
    <nc r="A400">
      <v>905</v>
    </nc>
  </rcc>
  <rcc rId="1540" sId="1">
    <nc r="B400" t="inlineStr">
      <is>
        <t>HF MACHADO CONSULTORIA EM MARKETINK</t>
      </is>
    </nc>
  </rcc>
  <rcc rId="1541" sId="1">
    <nc r="H400" t="inlineStr">
      <is>
        <t>N</t>
      </is>
    </nc>
  </rcc>
  <rcc rId="1542" sId="1" odxf="1" dxf="1">
    <nc r="G400" t="inlineStr">
      <is>
        <t>CARL</t>
      </is>
    </nc>
    <ndxf>
      <font>
        <sz val="8"/>
        <color auto="1"/>
        <name val="Arial"/>
        <scheme val="none"/>
      </font>
      <fill>
        <patternFill>
          <bgColor rgb="FF00B050"/>
        </patternFill>
      </fill>
    </ndxf>
  </rcc>
  <rcc rId="1543" sId="1">
    <nc r="I400" t="inlineStr">
      <is>
        <t>PRO-LABORE</t>
      </is>
    </nc>
  </rcc>
  <rcc rId="1544" sId="1">
    <nc r="J400">
      <v>21</v>
    </nc>
  </rcc>
  <rcv guid="{DAEEB123-9C5D-4BF0-8F09-E7DEBC62D826}" action="delete"/>
  <rdn rId="0" localSheetId="1" customView="1" name="Z_DAEEB123_9C5D_4BF0_8F09_E7DEBC62D826_.wvu.Cols" hidden="1" oldHidden="1">
    <formula>'Controle Empresas'!$C:$F,'Controle Empresas'!$M:$M</formula>
    <oldFormula>'Controle Empresas'!$D:$F</oldFormula>
  </rdn>
  <rdn rId="0" localSheetId="1" customView="1" name="Z_DAEEB123_9C5D_4BF0_8F09_E7DEBC62D826_.wvu.FilterData" hidden="1" oldHidden="1">
    <formula>'Controle Empresas'!$A$1:$M$418</formula>
    <oldFormula>'Controle Empresas'!$A$1:$M$418</oldFormula>
  </rdn>
  <rcv guid="{DAEEB123-9C5D-4BF0-8F09-E7DEBC62D826}"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AEEB123-9C5D-4BF0-8F09-E7DEBC62D826}" action="delete"/>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Empresas'!$A$1:$M$418</formula>
    <oldFormula>'Controle Empresas'!$A$1:$M$418</oldFormula>
  </rdn>
  <rcv guid="{DAEEB123-9C5D-4BF0-8F09-E7DEBC62D826}"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549" sId="2" ref="A359:XFD359" action="insertRow">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9"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402"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550" sId="2">
    <nc r="A359">
      <v>904</v>
    </nc>
  </rcc>
  <rcc rId="1551" sId="2">
    <nc r="B359" t="inlineStr">
      <is>
        <t xml:space="preserve">Conclave </t>
      </is>
    </nc>
  </rcc>
  <rcc rId="1552" sId="2">
    <nc r="C359" t="inlineStr">
      <is>
        <t>Fazendo vale transporte para Lais -&gt; Login: 17859185000197 senha: 12345</t>
      </is>
    </nc>
  </rcc>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3" sId="2">
    <oc r="C248" t="inlineStr">
      <is>
        <t>Lançar gratificação fixa para Marluce 252,00</t>
      </is>
    </oc>
    <nc r="C248" t="inlineStr">
      <is>
        <t>Lançar gratificação fixa para Marluce 252,00  Esta com um parcelamennto pela sispar de irrf e pis sobre folha.</t>
      </is>
    </nc>
  </rcc>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1" customView="1" name="Z_DFB7C661_5C1D_4491_B5BB_D24125818F62_.wvu.Cols" hidden="1" oldHidden="1">
    <formula>'Controle Empresas'!$E:$E</formula>
    <oldFormula>'Controle Empresas'!$E:$E</oldFormula>
  </rdn>
  <rdn rId="0" localSheetId="1" customView="1" name="Z_DFB7C661_5C1D_4491_B5BB_D24125818F62_.wvu.FilterData" hidden="1" oldHidden="1">
    <formula>'Controle Empresas'!$A$1:$M$418</formula>
    <oldFormula>'Controle Empresas'!$A$1:$M$418</oldFormula>
  </rdn>
  <rcv guid="{DFB7C661-5C1D-4491-B5BB-D24125818F62}"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6" sId="2">
    <oc r="C363" t="inlineStr">
      <is>
        <t>Enviar junto com a Clinica nucleo matriz - 63 - recarga feita no site rio card (Ligar para o sind antes de gerar a folha para saber se já teve reajuste salarial) /  2 VT de Seg a Sexta  Valor do vale 4,30  Site Rio Card    Login C24846297 Senha Clinica10   https://www.cartaoriocard.com.br/rcc/paraEmpresa/login</t>
      </is>
    </oc>
    <nc r="C363" t="inlineStr">
      <is>
        <t>Enviar junto com a Clinica nucleo matriz - 63 - recarga feita no site rio card (Ligar para o sind antes de gerar a folha para saber se já teve reajuste salarial) /  2 VT de Seg a Sexta  Valor do vale 4,30  Site Rio Card    Login C24846297 Senha Clinica20   https://www.cartaoriocard.com.br/rcc/paraEmpresa/login</t>
      </is>
    </nc>
  </rcc>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7" sId="2">
    <oc r="C347" t="inlineStr">
      <is>
        <t>Possui 2 funcionarios com horas noturnas. Carlos possui 1h noturna dando 1,23 horas noturnas e Ezequiel é totalmente noturno dando 6,42 horas por noite.  Ela passa quantidade total de hora noturna  por solicitação e é transformado colocando 1,142857, para saber as horas noturnas.</t>
      </is>
    </oc>
    <nc r="C347" t="inlineStr">
      <is>
        <t>Possui 2 funcionarios com horas noturnas. Carlos possui 1h noturna dando 1,23 horas noturnas e Ezequiel é totalmente noturno dando 6,42 horas por noite.  Ela passa quantidade total de hora noturna  por solicitação e é transformado colocando 1,142857, para saber as horas noturnas.ENVIAR RECIBO SEPARADO DE PROLABORE</t>
      </is>
    </nc>
  </rcc>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558" sId="1" ref="A402:XFD402"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E$1:$E$1048576" dn="Z_DFB7C661_5C1D_4491_B5BB_D24125818F62_.wvu.Cols" sId="1"/>
    <undo index="2" exp="area" ref3D="1" dr="$M$1:$M$1048576" dn="Z_DAEEB123_9C5D_4BF0_8F09_E7DEBC62D826_.wvu.Cols" sId="1"/>
    <undo index="1" exp="area" ref3D="1" dr="$C$1:$F$1048576" dn="Z_DAEEB123_9C5D_4BF0_8F09_E7DEBC62D826_.wvu.Cols" sId="1"/>
  </rrc>
  <rcc rId="1559" sId="1">
    <nc r="A402">
      <v>908</v>
    </nc>
  </rcc>
  <rcc rId="1560" sId="1" xfDxf="1" dxf="1">
    <nc r="B402" t="inlineStr">
      <is>
        <t>PEDRO PAULO DE MELO</t>
      </is>
    </nc>
    <n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1561" sId="1">
    <nc r="G402" t="inlineStr">
      <is>
        <t>CARL</t>
      </is>
    </nc>
  </rcc>
  <rcc rId="1562" sId="1">
    <nc r="H402" t="inlineStr">
      <is>
        <t>N</t>
      </is>
    </nc>
  </rcc>
  <rcc rId="1563" sId="1">
    <nc r="I402" t="inlineStr">
      <is>
        <t>PRO-LABORE</t>
      </is>
    </nc>
  </rcc>
  <rcc rId="1564" sId="1">
    <oc r="J401">
      <v>28</v>
    </oc>
    <nc r="J401">
      <v>21</v>
    </nc>
  </rcc>
  <rcc rId="1565" sId="1">
    <nc r="J402">
      <v>21</v>
    </nc>
  </rcc>
  <rcc rId="1566" sId="1">
    <nc r="J403">
      <v>25</v>
    </nc>
  </rcc>
  <rcc rId="1567" sId="1" odxf="1" dxf="1" numFmtId="4">
    <nc r="L402">
      <v>32020</v>
    </nc>
    <odxf>
      <numFmt numFmtId="0" formatCode="General"/>
    </odxf>
    <ndxf>
      <numFmt numFmtId="3" formatCode="#,##0"/>
    </ndxf>
  </rcc>
  <rcv guid="{DAEEB123-9C5D-4BF0-8F09-E7DEBC62D826}" action="delete"/>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Empresas'!$A$1:$M$419</formula>
    <oldFormula>'Controle Empresas'!$A$1:$M$419</oldFormula>
  </rdn>
  <rcv guid="{DAEEB123-9C5D-4BF0-8F09-E7DEBC62D826}"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70" sId="1">
    <oc r="H205" t="inlineStr">
      <is>
        <t>N</t>
      </is>
    </oc>
    <nc r="H205" t="inlineStr">
      <is>
        <t>S</t>
      </is>
    </nc>
  </rcc>
  <rcc rId="1571" sId="1">
    <oc r="I205" t="inlineStr">
      <is>
        <t>PRO-LABORE</t>
      </is>
    </oc>
    <nc r="I205">
      <v>1</v>
    </nc>
  </rcc>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1" customView="1" name="Z_DFB7C661_5C1D_4491_B5BB_D24125818F62_.wvu.Cols" hidden="1" oldHidden="1">
    <formula>'Controle Empresas'!$C:$F</formula>
    <oldFormula>'Controle Empresas'!$E:$E</oldFormula>
  </rdn>
  <rdn rId="0" localSheetId="1" customView="1" name="Z_DFB7C661_5C1D_4491_B5BB_D24125818F62_.wvu.FilterData" hidden="1" oldHidden="1">
    <formula>'Controle Empresas'!$A$1:$M$419</formula>
    <oldFormula>'Controle Empresas'!$A$1:$M$419</oldFormula>
  </rdn>
  <rcv guid="{DFB7C661-5C1D-4491-B5BB-D24125818F62}"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74" sId="1">
    <oc r="L146" t="inlineStr">
      <is>
        <t xml:space="preserve">Pro labore (   )  (   ) IR
INSS (   )         
GFIP (   )     Plano de saude do socio,vt desconta em folha 6%                                                                                             </t>
      </is>
    </oc>
    <nc r="L146" t="inlineStr">
      <is>
        <r>
          <t xml:space="preserve">Pro labore (   )  (   ) IR
INSS (   )     </t>
        </r>
        <r>
          <rPr>
            <sz val="8"/>
            <color rgb="FFFF0000"/>
            <rFont val="Arial"/>
            <family val="2"/>
          </rPr>
          <t>o func. Iago terá alteração em junho já fiz o aumento. R$ 1.726,50</t>
        </r>
        <r>
          <rPr>
            <sz val="8"/>
            <rFont val="Arial"/>
            <family val="2"/>
          </rPr>
          <t xml:space="preserve">    
GFIP (   )     Plano de saude do socio,vt desconta em folha 6%                                                                                             </t>
        </r>
      </is>
    </nc>
  </rcc>
  <rcv guid="{DFB7C661-5C1D-4491-B5BB-D24125818F62}" action="delete"/>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Empresas'!$A$1:$M$419</formula>
    <oldFormula>'Controle Empresas'!$A$1:$M$419</oldFormula>
  </rdn>
  <rcv guid="{DFB7C661-5C1D-4491-B5BB-D24125818F62}"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77" sId="1">
    <oc r="L111" t="inlineStr">
      <is>
        <t>Folha e Pro labore (   )
INSS (   ) (   ) IR
FGTS e GFIP (   )  ZERAR ASSIDUIDADE DA FABIELLY NO MÊS DE JANEIRO, TEVE FALTAS.</t>
      </is>
    </oc>
    <nc r="L111" t="inlineStr">
      <is>
        <t xml:space="preserve">Folha e Pro labore (   )
INSS (   ) (   ) IR
FGTS e GFIP (   ) </t>
      </is>
    </nc>
  </rcc>
  <rcv guid="{DFB7C661-5C1D-4491-B5BB-D24125818F62}" action="delete"/>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Empresas'!$A$1:$M$419</formula>
    <oldFormula>'Controle Empresas'!$A$1:$M$419</oldFormula>
  </rdn>
  <rcv guid="{DFB7C661-5C1D-4491-B5BB-D24125818F62}"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0" sId="1">
    <oc r="L329" t="inlineStr">
      <is>
        <t xml:space="preserve">(   ) PRO LABORE      (   ) INSS        (   )GFIP passa fechamento horas extras              (    ) </t>
      </is>
    </oc>
    <nc r="L329" t="inlineStr">
      <is>
        <t>(   ) PRO LABORE      (   ) INSS        (   )GFIP passa fechamento horas extras              (    ) Adianatamento</t>
      </is>
    </nc>
  </rcc>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1" sId="2">
    <oc r="C288" t="inlineStr">
      <is>
        <t xml:space="preserve"> -  CNPJ 27829502000186 SENHA viaexpressa@123 O FUNCIONÁRIO LIDERSON TEM 2 VTS POR DIA DE SEG A SABADO E DESCONTA 6% NA FOLHA( não tem mais VT , não descontar mais 12/2019)/ Tem plano de saude, valores fixos altera apenas se tivar cooparticipação </t>
      </is>
    </oc>
    <nc r="C288" t="inlineStr">
      <is>
        <r>
          <t xml:space="preserve"> - CNPJ 27829502000186 SENHA viaexpressa@123 – </t>
        </r>
        <r>
          <rPr>
            <sz val="10"/>
            <color rgb="FFFF0000"/>
            <rFont val="Calibri"/>
            <family val="2"/>
          </rPr>
          <t>nenhum funcionário utilizando VT desde 12/2019.</t>
        </r>
        <r>
          <rPr>
            <sz val="10"/>
            <rFont val="Calibri"/>
            <family val="2"/>
          </rPr>
          <t xml:space="preserve">
Tem plano de saúde, valores fixos altera apenas se tiver coparticipação. 
Adiantamento, apenas quando ele solicita.</t>
        </r>
      </is>
    </nc>
  </rcc>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2" sId="1" odxf="1" dxf="1">
    <oc r="G368" t="inlineStr">
      <is>
        <t>THAI</t>
      </is>
    </oc>
    <nc r="G368" t="inlineStr">
      <is>
        <t>FABI</t>
      </is>
    </nc>
    <odxf>
      <font>
        <b/>
        <sz val="9"/>
        <color auto="1"/>
        <name val="Arial"/>
        <scheme val="none"/>
      </font>
      <fill>
        <patternFill>
          <bgColor theme="7"/>
        </patternFill>
      </fill>
    </odxf>
    <ndxf>
      <font>
        <b val="0"/>
        <sz val="8"/>
        <color auto="1"/>
        <name val="Arial"/>
        <scheme val="none"/>
      </font>
      <fill>
        <patternFill>
          <bgColor rgb="FF00B0F0"/>
        </patternFill>
      </fill>
    </ndxf>
  </rcc>
  <rcc rId="1583" sId="1" odxf="1" dxf="1">
    <oc r="G361" t="inlineStr">
      <is>
        <t>THAI</t>
      </is>
    </oc>
    <nc r="G361" t="inlineStr">
      <is>
        <t>FABI</t>
      </is>
    </nc>
    <ndxf>
      <font>
        <b val="0"/>
        <sz val="8"/>
        <color auto="1"/>
        <name val="Arial"/>
        <scheme val="none"/>
      </font>
      <fill>
        <patternFill>
          <bgColor rgb="FF00B0F0"/>
        </patternFill>
      </fill>
    </ndxf>
  </rcc>
  <rcc rId="1584" sId="1" odxf="1" dxf="1">
    <oc r="G204" t="inlineStr">
      <is>
        <t>IASK</t>
      </is>
    </oc>
    <nc r="G204" t="inlineStr">
      <is>
        <t>FABI</t>
      </is>
    </nc>
    <odxf>
      <fill>
        <patternFill>
          <bgColor rgb="FFCC3399"/>
        </patternFill>
      </fill>
    </odxf>
    <ndxf>
      <fill>
        <patternFill>
          <bgColor rgb="FF00B0F0"/>
        </patternFill>
      </fill>
    </ndxf>
  </rcc>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5" sId="1" odxf="1" dxf="1">
    <oc r="G315" t="inlineStr">
      <is>
        <t>IASK</t>
      </is>
    </oc>
    <nc r="G315" t="inlineStr">
      <is>
        <t>THAI</t>
      </is>
    </nc>
    <odxf>
      <font>
        <b val="0"/>
        <sz val="8"/>
        <color auto="1"/>
        <name val="Arial"/>
        <scheme val="none"/>
      </font>
      <fill>
        <patternFill>
          <bgColor rgb="FFCC3399"/>
        </patternFill>
      </fill>
    </odxf>
    <ndxf>
      <font>
        <b/>
        <sz val="9"/>
        <color auto="1"/>
        <name val="Arial"/>
        <scheme val="none"/>
      </font>
      <fill>
        <patternFill>
          <bgColor theme="7"/>
        </patternFill>
      </fill>
    </ndxf>
  </rcc>
  <rcv guid="{DAEEB123-9C5D-4BF0-8F09-E7DEBC62D826}" action="delete"/>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Empresas'!$A$1:$M$419</formula>
    <oldFormula>'Controle Empresas'!$A$1:$M$419</oldFormula>
  </rdn>
  <rcv guid="{DAEEB123-9C5D-4BF0-8F09-E7DEBC62D826}"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8" sId="1" xfDxf="1" dxf="1">
    <oc r="B376">
      <v>0.86399999999999999</v>
    </oc>
    <nc r="B376" t="inlineStr">
      <is>
        <t>MAYKON FERREIRA DE S</t>
      </is>
    </nc>
    <n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v guid="{DAEEB123-9C5D-4BF0-8F09-E7DEBC62D826}" action="delete"/>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Empresas'!$A$1:$M$419</formula>
    <oldFormula>'Controle Empresas'!$A$1:$M$419</oldFormula>
  </rdn>
  <rcv guid="{DAEEB123-9C5D-4BF0-8F09-E7DEBC62D826}"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402">
    <dxf>
      <alignment horizontal="left" readingOrder="0"/>
    </dxf>
  </rfmt>
  <rcc rId="1591" sId="1">
    <nc r="L401" t="inlineStr">
      <is>
        <t>MARÇO</t>
      </is>
    </nc>
  </rcc>
  <rcc rId="1592" sId="1">
    <oc r="L402">
      <v>32020</v>
    </oc>
    <nc r="L402" t="inlineStr">
      <is>
        <t>MARÇO</t>
      </is>
    </nc>
  </rcc>
  <rfmt sheetId="1" sqref="L399" start="0" length="0">
    <dxf>
      <font>
        <sz val="8"/>
        <color auto="1"/>
        <name val="Arial"/>
        <scheme val="none"/>
      </font>
    </dxf>
  </rfmt>
  <rfmt sheetId="1" sqref="L400" start="0" length="0">
    <dxf>
      <font>
        <sz val="8"/>
        <color auto="1"/>
        <name val="Arial"/>
        <scheme val="none"/>
      </font>
    </dxf>
  </rfmt>
  <rcc rId="1593" sId="1">
    <nc r="L400" t="inlineStr">
      <is>
        <t xml:space="preserve">Pro labore (   ) 
INSS (   )
GFIP (   ) </t>
      </is>
    </nc>
  </rcc>
  <rcc rId="1594" sId="1">
    <oc r="L399" t="inlineStr">
      <is>
        <t>INSS (   )</t>
      </is>
    </oc>
    <nc r="L399" t="inlineStr">
      <is>
        <t xml:space="preserve">Pro labore (   ) 
INSS (   )
GFIP (   )  </t>
      </is>
    </nc>
  </rcc>
  <rcc rId="1595" sId="1">
    <oc r="L403" t="inlineStr">
      <is>
        <t xml:space="preserve">GFIP (   ) </t>
      </is>
    </oc>
    <nc r="L403" t="inlineStr">
      <is>
        <t>ESOCIAL DOMESTICO</t>
      </is>
    </nc>
  </rcc>
  <rcv guid="{DAEEB123-9C5D-4BF0-8F09-E7DEBC62D826}" action="delete"/>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Empresas'!$A$1:$M$419</formula>
    <oldFormula>'Controle Empresas'!$A$1:$M$419</oldFormula>
  </rdn>
  <rcv guid="{DAEEB123-9C5D-4BF0-8F09-E7DEBC62D826}"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8" sId="2">
    <oc r="C348" t="inlineStr">
      <is>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t>
      </is>
    </oc>
    <nc r="C348" t="inlineStr">
      <is>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txt.PLASC PLANO DE SAUDE LIGIN 4789 SENHA 13500865000169</t>
      </is>
    </nc>
  </rcc>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9" sId="2">
    <oc r="C348" t="inlineStr">
      <is>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txt.PLASC PLANO DE SAUDE LIGIN 4789 SENHA 13500865000169</t>
      </is>
    </oc>
    <nc r="C348" t="inlineStr">
      <is>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txt.PLASC PLANO DE SAUDE LOGIN 4789 SENHA 13500865000169</t>
      </is>
    </nc>
  </rcc>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00" sId="1" ref="A402:XFD402"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FB7C661_5C1D_4491_B5BB_D24125818F62_.wvu.Cols" sId="1"/>
    <undo index="2" exp="area" ref3D="1" dr="$M$1:$M$1048576" dn="Z_DAEEB123_9C5D_4BF0_8F09_E7DEBC62D826_.wvu.Cols" sId="1"/>
    <undo index="1" exp="area" ref3D="1" dr="$C$1:$F$1048576" dn="Z_DAEEB123_9C5D_4BF0_8F09_E7DEBC62D826_.wvu.Cols" sId="1"/>
  </rrc>
  <rcc rId="1601" sId="1" xfDxf="1" dxf="1">
    <nc r="B402" t="inlineStr">
      <is>
        <t>R. M. PIMONT</t>
      </is>
    </nc>
    <n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1602" sId="1">
    <nc r="A402">
      <v>907</v>
    </nc>
  </rcc>
  <rcc rId="1603" sId="1">
    <nc r="G402" t="inlineStr">
      <is>
        <t>CARL</t>
      </is>
    </nc>
  </rcc>
  <rcc rId="1604" sId="1">
    <nc r="L402" t="inlineStr">
      <is>
        <t>MARÇO</t>
      </is>
    </nc>
  </rcc>
  <rcc rId="1605" sId="1">
    <nc r="I402" t="inlineStr">
      <is>
        <t>PRO-LABORE</t>
      </is>
    </nc>
  </rcc>
  <rcc rId="1606" sId="1">
    <oc r="H231" t="inlineStr">
      <is>
        <t>S</t>
      </is>
    </oc>
    <nc r="H231" t="inlineStr">
      <is>
        <t>SAIU/BAIXADO</t>
      </is>
    </nc>
  </rcc>
  <rcc rId="1607" sId="1">
    <oc r="L231" t="inlineStr">
      <is>
        <t xml:space="preserve"> Pro labore (    ) INSS (   )   FGTS(    )  IRF(  )  Passa HE - cobrar </t>
      </is>
    </oc>
    <nc r="L231" t="inlineStr">
      <is>
        <t xml:space="preserve"> Pro labore (    ) INSS (   )   FGTS(    )  IRF(  )  Passa HE - cobrar  saiu em02/2020</t>
      </is>
    </nc>
  </rcc>
  <rcc rId="1608" sId="1">
    <oc r="H286" t="inlineStr">
      <is>
        <t>N</t>
      </is>
    </oc>
    <nc r="H286" t="inlineStr">
      <is>
        <t>SAIU/BAIXADO</t>
      </is>
    </nc>
  </rcc>
  <rcc rId="1609" sId="1">
    <oc r="L286" t="inlineStr">
      <is>
        <t>Pro labore (   )
INSS (   )
GFIP (   )     (   ) IRRF</t>
      </is>
    </oc>
    <nc r="L286" t="inlineStr">
      <is>
        <t>Pro labore (   ) saiu 02/2020
INSS (   )
GFIP (   )     (   ) IRRF</t>
      </is>
    </nc>
  </rcc>
  <rcc rId="1610" sId="1">
    <oc r="H390" t="inlineStr">
      <is>
        <t>SIMEI</t>
      </is>
    </oc>
    <nc r="H390" t="inlineStr">
      <is>
        <t>SAIU/BAIXADO</t>
      </is>
    </nc>
  </rcc>
  <rcc rId="1611" sId="1">
    <oc r="L390" t="inlineStr">
      <is>
        <t>sem funcionários.Passar SM 12.2019</t>
      </is>
    </oc>
    <nc r="L390" t="inlineStr">
      <is>
        <t>sem funcionários.Passar SM 12.2019 saiu 01.2020</t>
      </is>
    </nc>
  </rcc>
  <rcc rId="1612" sId="1">
    <oc r="H239" t="inlineStr">
      <is>
        <t>S</t>
      </is>
    </oc>
    <nc r="H239" t="inlineStr">
      <is>
        <t>SAIU/BAIXADO</t>
      </is>
    </nc>
  </rcc>
  <rcc rId="1613" sId="1">
    <oc r="L239" t="inlineStr">
      <is>
        <t xml:space="preserve">Folha (  ) Vt (  )
INSS (   )                                 
FGTS e GFIP (   )     foi feito o reajuste 07/2019                                                                                                                    </t>
      </is>
    </oc>
    <nc r="L239" t="inlineStr">
      <is>
        <t xml:space="preserve">Folha (  ) Vt (  )
INSS (   )                                 
FGTS e GFIP (   )     foi feito o reajuste 07/2019                          feito ate 02/2020                                                                                          </t>
      </is>
    </nc>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4" sId="1">
    <oc r="H386" t="inlineStr">
      <is>
        <t>N</t>
      </is>
    </oc>
    <nc r="H386" t="inlineStr">
      <is>
        <t>s</t>
      </is>
    </nc>
  </rcc>
  <rcc rId="1615" sId="1">
    <oc r="I386" t="inlineStr">
      <is>
        <t>PRO-LABORE</t>
      </is>
    </oc>
    <nc r="I386">
      <v>2</v>
    </nc>
  </rcc>
  <rcv guid="{DAEEB123-9C5D-4BF0-8F09-E7DEBC62D826}" action="delete"/>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Empresas'!$A$1:$M$420</formula>
    <oldFormula>'Controle Empresas'!$A$1:$M$420</oldFormula>
  </rdn>
  <rcv guid="{DAEEB123-9C5D-4BF0-8F09-E7DEBC62D826}"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4627F90-111A-4938-A3EC-3F862F83F7D7}" action="delete"/>
  <rdn rId="0" localSheetId="1" customView="1" name="Z_44627F90_111A_4938_A3EC_3F862F83F7D7_.wvu.PrintArea" hidden="1" oldHidden="1">
    <formula>'Controle Empresas'!$A$235:$L$421</formula>
  </rdn>
  <rdn rId="0" localSheetId="1" customView="1" name="Z_44627F90_111A_4938_A3EC_3F862F83F7D7_.wvu.FilterData" hidden="1" oldHidden="1">
    <formula>'Controle Empresas'!$A$1:$M$420</formula>
    <oldFormula>'Controle Empresas'!$A$1:$M$420</oldFormula>
  </rdn>
  <rcv guid="{44627F90-111A-4938-A3EC-3F862F83F7D7}"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0" sId="1">
    <oc r="B331" t="inlineStr">
      <is>
        <t>BOA VISTA PROTESE DENTARIA               SAUDE /MOTORISTA                     MAIO         07.776.232/0001-85</t>
      </is>
    </oc>
    <nc r="B331" t="inlineStr">
      <is>
        <t>BOA VISTA PROTESE DENTARIA                                 SAUDE /MOTORISTA                     MAIO         07.776.232/0001-85</t>
      </is>
    </nc>
  </rcc>
  <rcc rId="1621" sId="1">
    <oc r="B364" t="inlineStr">
      <is>
        <t>SMART NX EIREL</t>
      </is>
    </oc>
    <nc r="B364" t="inlineStr">
      <is>
        <t>SMART NX EIREL   13.500.865/0001-69   SINTAPPI/MAIO</t>
      </is>
    </nc>
  </rcc>
  <rfmt sheetId="1" sqref="B364">
    <dxf>
      <alignment horizontal="center" readingOrder="0"/>
    </dxf>
  </rfmt>
  <rfmt sheetId="1" sqref="B364">
    <dxf>
      <alignment horizontal="left" readingOrder="0"/>
    </dxf>
  </rfmt>
  <rfmt sheetId="1" sqref="B364">
    <dxf>
      <alignment wrapText="1" readingOrder="0"/>
    </dxf>
  </rfmt>
  <rfmt sheetId="1" sqref="B361 B364 B367">
    <dxf>
      <alignment horizontal="center" readingOrder="0"/>
    </dxf>
  </rfmt>
  <rfmt sheetId="1" sqref="B361 B364 B367">
    <dxf>
      <alignment horizontal="general" readingOrder="0"/>
    </dxf>
  </rfmt>
  <rfmt sheetId="1" sqref="B361 B364 B367">
    <dxf>
      <alignment vertical="top" readingOrder="0"/>
    </dxf>
  </rfmt>
  <rfmt sheetId="1" sqref="B371">
    <dxf>
      <alignment vertical="top" readingOrder="0"/>
    </dxf>
  </rfmt>
  <rfmt sheetId="1" sqref="B9 B107 B139 B144 B154 B157 B164 B186 B204 B210 B227 B243 B281 B285 B330:B331 B336 B351 B361 B364 B367:B369 B371">
    <dxf>
      <alignment vertical="top" readingOrder="0"/>
    </dxf>
  </rfmt>
  <rfmt sheetId="1" sqref="B9 B107 B139 B144 B154 B157 B164 B186 B204 B210 B227 B243 B281 B285 B330:B331 B336 B351 B361 B364 B367:B369 B371">
    <dxf>
      <alignment horizontal="general" readingOrder="0"/>
    </dxf>
  </rfmt>
  <rfmt sheetId="1" sqref="B9 B107 B139 B144 B154 B157 B164 B186 B204 B210 B227 B243 B281 B285 B330:B331 B336 B351 B361 B364 B367:B369 B371" start="0" length="2147483647">
    <dxf>
      <font>
        <name val="Calibri"/>
        <scheme val="none"/>
      </font>
    </dxf>
  </rfmt>
  <rfmt sheetId="1" sqref="B9 B107 B139 B144 B154 B157 B164 B186 B204 B210 B227 B243 B281 B285 B330:B331 B336 B351 B361 B364 B367:B369 B371" start="0" length="2147483647">
    <dxf>
      <font>
        <sz val="8"/>
      </font>
    </dxf>
  </rfmt>
  <rcv guid="{3BCABC4F-4072-4ED9-90CC-E9BE96773387}" action="delete"/>
  <rdn rId="0" localSheetId="1" customView="1" name="Z_3BCABC4F_4072_4ED9_90CC_E9BE96773387_.wvu.FilterData" hidden="1" oldHidden="1">
    <formula>'Controle Empresas'!$A$1:$M$420</formula>
    <oldFormula>'Controle Empresas'!$A$1:$M$420</oldFormula>
  </rdn>
  <rcv guid="{3BCABC4F-4072-4ED9-90CC-E9BE96773387}"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3" sId="2">
    <oc r="C10" t="inlineStr">
      <is>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TODOS OS FUNCIONÁRIOS QUE TEM ATIVIDADE DO ANEXO IV "SONDADOR OU AUXILIAR DE SONDADOR" TEM RECOLHIMENTO DE 20% PATRONAL E 4,33% RAT APENAS EM CIMA DA SOMA DELES.SEFIP PASSADA NO 150 (ATENTAR A SEFIP,POIS O VALOR DELA VAI SER SEM OS VALORES  DO RAT E O PATRONAL.)</t>
      </is>
    </oc>
    <nc r="C10" t="inlineStr">
      <is>
        <r>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TODOS OS FUNCIONÁRIOS QUE TEM ATIVIDADE DO ANEXO IV "SONDADOR OU AUXILIAR DE SONDADOR" TEM RECOLHIMENTO DE 20% PATRONAL E 4,33% RAT APENAS EM CIMA DA SOMA DELES.SEFIP PASSADA NO 150 (ATENTAR A SEFIP,POIS O VALOR DELA VAI SER SEM OS VALORES  DO RAT E O PATRONAL.)</t>
        </r>
        <r>
          <rPr>
            <sz val="10"/>
            <color rgb="FFFF0000"/>
            <rFont val="Calibri"/>
            <family val="2"/>
          </rPr>
          <t>O FUNCIONARIO VITOR E ENGENHEIRO RECEBE 40,37 A HORA TRABALHADA,ELE VAI RECEBER MENSAL 2.000,00 POR MES COM O DSR.</t>
        </r>
      </is>
    </nc>
  </rcc>
  <rcv guid="{3BCABC4F-4072-4ED9-90CC-E9BE96773387}" action="delete"/>
  <rdn rId="0" localSheetId="1" customView="1" name="Z_3BCABC4F_4072_4ED9_90CC_E9BE96773387_.wvu.Cols" hidden="1" oldHidden="1">
    <formula>'Controle Empresas'!$C:$F</formula>
  </rdn>
  <rdn rId="0" localSheetId="1" customView="1" name="Z_3BCABC4F_4072_4ED9_90CC_E9BE96773387_.wvu.FilterData" hidden="1" oldHidden="1">
    <formula>'Controle Empresas'!$A$1:$M$420</formula>
    <oldFormula>'Controle Empresas'!$A$1:$M$420</oldFormula>
  </rdn>
  <rcv guid="{3BCABC4F-4072-4ED9-90CC-E9BE96773387}"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6" sId="2">
    <oc r="C10" t="inlineStr">
      <is>
        <r>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TODOS OS FUNCIONÁRIOS QUE TEM ATIVIDADE DO ANEXO IV "SONDADOR OU AUXILIAR DE SONDADOR" TEM RECOLHIMENTO DE 20% PATRONAL E 4,33% RAT APENAS EM CIMA DA SOMA DELES.SEFIP PASSADA NO 150 (ATENTAR A SEFIP,POIS O VALOR DELA VAI SER SEM OS VALORES  DO RAT E O PATRONAL.)</t>
        </r>
        <r>
          <rPr>
            <sz val="10"/>
            <color rgb="FFFF0000"/>
            <rFont val="Calibri"/>
            <family val="2"/>
          </rPr>
          <t>O FUNCIONARIO VITOR E ENGENHEIRO RECEBE 40,37 A HORA TRABALHADA,ELE VAI RECEBER MENSAL 2.000,00 POR MES COM O DSR.</t>
        </r>
      </is>
    </oc>
    <nc r="C10" t="inlineStr">
      <is>
        <r>
          <t xml:space="preserve">
ENVIAR AS FERIAS ANTES DE VENCER A SEGUNDA,NORMALMENTE O CARLOS DA AS FERIAS E FICA FALTANDO O RECIBO DAS FERIAS ATENTAR A ISSO,PERGUNTAR QUANDO PRETENDE DAR PARA EMITIR RECIBOS E NÃO DOBRAR.O FUNCIONARIO MAICON ESTA DENTRO DO CEI DO CONSORCIO QUE PASSA MENSALMENTE QUANTOS DIAS TRABALHOU LA ATE DIA 30. TODOS OS FUNCIONÁRIOS QUE TEM ATIVIDADE DO ANEXO IV "SONDADOR OU AUXILIAR DE SONDADOR" TEM RECOLHIMENTO DE 20% PATRONAL E 4,33% RAT APENAS EM CIMA DA SOMA DELES.SEFIP PASSADA NO 150 (ATENTAR A SEFIP,POIS O VALOR DELA VAI SER SEM OS VALORES  DO RAT E O PATRONAL.)</t>
        </r>
        <r>
          <rPr>
            <sz val="10"/>
            <color rgb="FFFF0000"/>
            <rFont val="Calibri"/>
            <family val="2"/>
          </rPr>
          <t>O FUNCIONARIO VITOR E ENGENHEIRO RECEBE 40,37 A HORA TRABALHADA,ELE VAI RECEBER MENSAL 2.000,00 POR MES COM O DSR.+ -42 A 43 HORAS MES</t>
        </r>
      </is>
    </nc>
  </rcc>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Empresas'!$A$1:$M$420</formula>
    <oldFormula>'Controle Empresas'!$A$1:$M$420</oldFormula>
  </rdn>
  <rcv guid="{DFB7C661-5C1D-4491-B5BB-D24125818F62}"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9" sId="2">
    <oc r="C96" t="inlineStr">
      <is>
        <r>
          <t>•</t>
        </r>
        <r>
          <rPr>
            <b/>
            <sz val="10"/>
            <rFont val="Calibri"/>
            <family val="2"/>
          </rPr>
          <t xml:space="preserve"> CONFIRMAR TODOS OS MESES COM DAVIDSON (indentcomunica@indentilab.com.br), HE E FALTAS
ENVIAR PELO SITE</t>
        </r>
        <r>
          <rPr>
            <sz val="10"/>
            <rFont val="Calibri"/>
            <family val="2"/>
          </rPr>
          <t>. EMAIL DO SR. HENRIQUE</t>
        </r>
        <r>
          <rPr>
            <b/>
            <sz val="10"/>
            <color indexed="62"/>
            <rFont val="Calibri"/>
            <family val="2"/>
          </rPr>
          <t xml:space="preserve"> </t>
        </r>
        <r>
          <rPr>
            <b/>
            <u/>
            <sz val="10"/>
            <color indexed="62"/>
            <rFont val="Calibri"/>
            <family val="2"/>
          </rPr>
          <t>administrativojf@indentlab.com.br</t>
        </r>
        <r>
          <rPr>
            <sz val="10"/>
            <color indexed="62"/>
            <rFont val="Calibri"/>
            <family val="2"/>
          </rPr>
          <t xml:space="preserve"> </t>
        </r>
        <r>
          <rPr>
            <sz val="10"/>
            <rFont val="Calibri"/>
            <family val="2"/>
          </rPr>
          <t xml:space="preserve">ATÉ O DIA 30 DE CADA MÊS.
• EMPRESA VAI PASSAR ATÉ DIA 20 VALORES DE ADIANTAMENTO. NORMALMENTE É VALOR DE R$ 200,00 PARA OS FUNCIONARIOS CLAUDINEY - DAVIDSON E CLEITON E PARA OS SÓCIOS TIAGO E SIDNEY NO VALOR DE R$. 200,00 (ENVIAR PELO SITE). </t>
        </r>
        <r>
          <rPr>
            <b/>
            <sz val="10"/>
            <rFont val="Calibri"/>
            <family val="2"/>
          </rPr>
          <t>ATENÇÃO: MESES DE NOVEMBRO E DEZEMBRO CONFIRMAR SE TERÁ ADIANTAMENTO DOS SÓCIOS E FUNCIONÁRIOS</t>
        </r>
        <r>
          <rPr>
            <sz val="10"/>
            <rFont val="Calibri"/>
            <family val="2"/>
          </rPr>
          <t xml:space="preserve">
•TEM ADINATAMENTO SALARIAL DOS SÓCIOS /O Sócio Sérgio tem plano de saúde fixo até ele comunicar que o valor mudou.
TODOS FUNCIONÁRIOS TEM INSALUBRIDADE
*ELE PASSA AS HORAS EXTRAS MENSAL</t>
        </r>
      </is>
    </oc>
    <nc r="C96" t="inlineStr">
      <is>
        <r>
          <t>•</t>
        </r>
        <r>
          <rPr>
            <b/>
            <sz val="10"/>
            <rFont val="Calibri"/>
            <family val="2"/>
          </rPr>
          <t xml:space="preserve"> CONFIRMAR TODOS OS MESES COM DAVIDSON (indentcomunica@indentilab.com.br), HE E FALTAS
ENVIAR PELO SITE</t>
        </r>
        <r>
          <rPr>
            <sz val="10"/>
            <rFont val="Calibri"/>
            <family val="2"/>
          </rPr>
          <t>. EMAIL DO SR. HENRIQUE</t>
        </r>
        <r>
          <rPr>
            <b/>
            <sz val="10"/>
            <color indexed="62"/>
            <rFont val="Calibri"/>
            <family val="2"/>
          </rPr>
          <t xml:space="preserve"> </t>
        </r>
        <r>
          <rPr>
            <b/>
            <u/>
            <sz val="10"/>
            <color indexed="62"/>
            <rFont val="Calibri"/>
            <family val="2"/>
          </rPr>
          <t>administrativojf@indentlab.com.br</t>
        </r>
        <r>
          <rPr>
            <sz val="10"/>
            <color indexed="62"/>
            <rFont val="Calibri"/>
            <family val="2"/>
          </rPr>
          <t xml:space="preserve"> </t>
        </r>
        <r>
          <rPr>
            <sz val="10"/>
            <rFont val="Calibri"/>
            <family val="2"/>
          </rPr>
          <t xml:space="preserve">ATÉ O DIA 30 DE CADA MÊS.
• EMPRESA VAI PASSAR ATÉ DIA 20 VALORES DE ADIANTAMENTO. NORMALMENTE É VALOR DE R$ 200,00 PARA OS FUNCIONARIOS CLAUDINEY - DAVIDSON E CLEITON E PARA OS SÓCIOS TIAGO E SIDNEY NO VALOR DE R$. 200,00 (ENVIAR PELO SITE). </t>
        </r>
        <r>
          <rPr>
            <b/>
            <sz val="10"/>
            <rFont val="Calibri"/>
            <family val="2"/>
          </rPr>
          <t>ATENÇÃO: MESES DE NOVEMBRO E DEZEMBRO CONFIRMAR SE TERÁ ADIANTAMENTO DOS SÓCIOS E FUNCIONÁRIOS</t>
        </r>
        <r>
          <rPr>
            <sz val="10"/>
            <rFont val="Calibri"/>
            <family val="2"/>
          </rPr>
          <t xml:space="preserve">
•TEM ADINATAMENTO SALARIAL DOS SÓCIOS /O Sócio Sérgio tem plano de saúde fixo( SERGIO HENR. $ 919,54 E CAMILLE $ 389,82 ATÉ JULHO) ELE VAO COMUNICAR QDO SOFRER ALTERAÇÃO.
TODOS FUNCIONÁRIOS TEM INSALUBRIDADE
*ELE PASSA AS HORAS EXTRAS MENSAL</t>
        </r>
      </is>
    </nc>
  </rcc>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4627F90-111A-4938-A3EC-3F862F83F7D7}" action="delete"/>
  <rdn rId="0" localSheetId="1" customView="1" name="Z_44627F90_111A_4938_A3EC_3F862F83F7D7_.wvu.PrintArea" hidden="1" oldHidden="1">
    <formula>'Controle Empresas'!$A$235:$L$421</formula>
    <oldFormula>'Controle Empresas'!$A$235:$L$421</oldFormula>
  </rdn>
  <rdn rId="0" localSheetId="1" customView="1" name="Z_44627F90_111A_4938_A3EC_3F862F83F7D7_.wvu.FilterData" hidden="1" oldHidden="1">
    <formula>'Controle Empresas'!$A$1:$M$420</formula>
    <oldFormula>'Controle Empresas'!$A$1:$M$420</oldFormula>
  </rdn>
  <rcv guid="{44627F90-111A-4938-A3EC-3F862F83F7D7}"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Empresas'!$A$1:$M$420</formula>
    <oldFormula>'Controle Empresas'!$A$1:$M$420</oldFormula>
  </rdn>
  <rcv guid="{DFB7C661-5C1D-4491-B5BB-D24125818F62}"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4" sId="1">
    <oc r="L283" t="inlineStr">
      <is>
        <r>
          <t xml:space="preserve">Recibo e-social (   )                                                                                                             Guia e-social (   )                                                                                                                            FOLHA DE PONTO (  )                                                                                            3VT DE SEG A SEXTA (  )   Login 01379922623 senha 12345                                                                                      </t>
        </r>
        <r>
          <rPr>
            <b/>
            <sz val="8"/>
            <color rgb="FFFF0000"/>
            <rFont val="Arial"/>
            <family val="2"/>
          </rPr>
          <t xml:space="preserve">Fechar em R$1300,00 liquido  </t>
        </r>
      </is>
    </oc>
    <nc r="L283" t="inlineStr">
      <is>
        <r>
          <t xml:space="preserve">Recibo e-social (   )                                                                                                             Guia e-social (   )                                                                                                                            FOLHA DE PONTO (  )                                                                                            3VT DE SEG A SEXTA (  )   Login 01379922623 senha 12345                                                                                      </t>
        </r>
        <r>
          <rPr>
            <b/>
            <sz val="8"/>
            <color rgb="FFFF0000"/>
            <rFont val="Arial"/>
            <family val="2"/>
          </rPr>
          <t>Fechar em R$1300,00 liquido  - BILHETE UNICO</t>
        </r>
      </is>
    </nc>
  </rcc>
  <rdn rId="0" localSheetId="1" customView="1" name="Z_590CEBDA_E7AE_4D8D_8613_56208662CCA9_.wvu.Cols" hidden="1" oldHidden="1">
    <formula>'Controle Empresas'!$C:$F,'Controle Empresas'!$M:$M</formula>
  </rdn>
  <rdn rId="0" localSheetId="1" customView="1" name="Z_590CEBDA_E7AE_4D8D_8613_56208662CCA9_.wvu.FilterData" hidden="1" oldHidden="1">
    <formula>'Controle Empresas'!$A$1:$M$420</formula>
  </rdn>
  <rcv guid="{590CEBDA-E7AE-4D8D-8613-56208662CCA9}"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7" sId="1">
    <oc r="B326" t="inlineStr">
      <is>
        <t>CRISTIANE DE MEDEIROS NOGUEIRA</t>
      </is>
    </oc>
    <nc r="B326" t="inlineStr">
      <is>
        <t>CRISTIANNE DE MEDEIROS NOGUEIRA</t>
      </is>
    </nc>
  </rcc>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8" sId="1">
    <oc r="L404" t="inlineStr">
      <is>
        <t>ESOCIAL DOMESTICO</t>
      </is>
    </oc>
    <nc r="L404" t="inlineStr">
      <is>
        <t>ESOCIAL DOMESTICO   4 VT seg a sexta</t>
      </is>
    </nc>
  </rcc>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9" sId="1">
    <oc r="L297" t="inlineStr">
      <is>
        <r>
          <t xml:space="preserve">Recibo e-social (   )                             Guia e-social (   )                                                                                                                      Recibo Astrasp (   )                             Folha de ponto  (     )                                                                                      </t>
        </r>
        <r>
          <rPr>
            <b/>
            <sz val="8"/>
            <color rgb="FFFF0000"/>
            <rFont val="Arial"/>
            <family val="2"/>
          </rPr>
          <t>Postar junto com a folha da Adriana Duque no site.</t>
        </r>
      </is>
    </oc>
    <nc r="L297" t="inlineStr">
      <is>
        <r>
          <t xml:space="preserve">Recibo e-social (   )                             Guia e-social (   )                                                                                                                      Recibo Astrasp (   )                             Folha de ponto  (     )                                                                                      </t>
        </r>
        <r>
          <rPr>
            <b/>
            <sz val="8"/>
            <color rgb="FFFF0000"/>
            <rFont val="Arial"/>
            <family val="2"/>
          </rPr>
          <t>Postar junto com a folha da Adriana Duque no site. 2 vt seg a sab</t>
        </r>
      </is>
    </nc>
  </rcc>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0" sId="1">
    <oc r="L408" t="inlineStr">
      <is>
        <t>Recibo e-social (   )                             Guia e-social (   )   TEM VT MAS NÃO DESCONTA EM FOLHA. SEG A SEXTA tem VT 2 por dia.Confirmar com ela a quantidade de recargas serão feitas</t>
      </is>
    </oc>
    <nc r="L408" t="inlineStr">
      <is>
        <t>Recibo e-social (   )                             Guia e-social (   )   TEM VT MAS NÃO DESCONTA EM FOLHA. SEG A SEXTA tem VT 2 por dia.Confirmar com ela a quantidade de recargas serão feitas 98801-6739</t>
      </is>
    </nc>
  </rcc>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Empresas'!$A$1:$M$420</formula>
    <oldFormula>'Controle Empresas'!$A$1:$M$420</oldFormula>
  </rdn>
  <rcv guid="{DFB7C661-5C1D-4491-B5BB-D24125818F62}"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3" sId="2">
    <oc r="C242" t="inlineStr">
      <is>
        <t xml:space="preserve">  * Tem plano de saude, ela envia o valor. A func. Luana é horista ela passa as horas mensalmente e tem vt descontado em folha 6%.</t>
      </is>
    </oc>
    <nc r="C242" t="inlineStr">
      <is>
        <t xml:space="preserve">  * Tem plano de saude, ela envia o valor. A func. Luana é horista ela passa as horas mensalmente e tem vt descontado em folha 6%. Tem adiantamendo mensal de 30% conforme convenção.</t>
      </is>
    </nc>
  </rcc>
  <rcc rId="1644" sId="1">
    <oc r="L160" t="inlineStr">
      <is>
        <t>Folha e Pro labore (   )
INSS (   )
FGTS e GFIP (    )                                                                                                                                                       TEM HORA EXTRA e PLANO DE SAÚDE</t>
      </is>
    </oc>
    <nc r="L160" t="inlineStr">
      <is>
        <t>Folha e Pro labore (   )  Adiantamento mensal 30% (   ) 
INSS (   )
FGTS e GFIP (    )                                                                                                                                                       TEM HORA EXTRA e PLANO DE SAÚDE</t>
      </is>
    </nc>
  </rcc>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5" sId="1">
    <oc r="H408" t="inlineStr">
      <is>
        <t>DOMÉSTICO</t>
      </is>
    </oc>
    <nc r="H408" t="inlineStr">
      <is>
        <t>S/M</t>
      </is>
    </nc>
  </rcc>
  <rcc rId="1646" sId="1">
    <oc r="L408" t="inlineStr">
      <is>
        <t>Recibo e-social (   )                             Guia e-social (   )   TEM VT MAS NÃO DESCONTA EM FOLHA. SEG A SEXTA tem VT 2 por dia.Confirmar com ela a quantidade de recargas serão feitas 98801-6739</t>
      </is>
    </oc>
    <nc r="L408" t="inlineStr">
      <is>
        <t>Recibo e-social (   )                             Guia e-social (   )   TEM VT MAS NÃO DESCONTA EM FOLHA. SEG A SEXTA tem VT 2 por dia.Confirmar com ela a quantidade de recargas serão feitas 98801-6739.  Rescisão em 31/01/2020</t>
      </is>
    </nc>
  </rcc>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7" sId="1">
    <oc r="H414" t="inlineStr">
      <is>
        <t>S/M</t>
      </is>
    </oc>
    <nc r="H414" t="inlineStr">
      <is>
        <t>DOMÉSTICO</t>
      </is>
    </nc>
  </rcc>
  <rcc rId="1648" sId="1">
    <oc r="L414" t="inlineStr">
      <is>
        <r>
          <t xml:space="preserve">E - SOCIAL  (   )                                            VT (  ) Descontar 6%                        </t>
        </r>
        <r>
          <rPr>
            <b/>
            <sz val="9"/>
            <color rgb="FFFF0000"/>
            <rFont val="Arial"/>
            <family val="2"/>
          </rPr>
          <t xml:space="preserve">Entregar Antonio  </t>
        </r>
        <r>
          <rPr>
            <sz val="9"/>
            <rFont val="Arial"/>
            <family val="2"/>
          </rPr>
          <t xml:space="preserve">     </t>
        </r>
      </is>
    </oc>
    <nc r="L414" t="inlineStr">
      <is>
        <r>
          <t xml:space="preserve">E - SOCIAL  (   )                                            VT (  ) Descontar 6%     2v seg a sab                   </t>
        </r>
        <r>
          <rPr>
            <b/>
            <sz val="9"/>
            <color rgb="FFFF0000"/>
            <rFont val="Arial"/>
            <family val="2"/>
          </rPr>
          <t xml:space="preserve">Entregar Antonio  </t>
        </r>
        <r>
          <rPr>
            <sz val="9"/>
            <rFont val="Arial"/>
            <family val="2"/>
          </rPr>
          <t xml:space="preserve">     </t>
        </r>
      </is>
    </nc>
  </rcc>
  <rcc rId="1649" sId="1">
    <oc r="B414" t="inlineStr">
      <is>
        <t>MARGARETH ROTONDO (saiu)</t>
      </is>
    </oc>
    <nc r="B414" t="inlineStr">
      <is>
        <t xml:space="preserve">MARGARETH ROTONDO </t>
      </is>
    </nc>
  </rcc>
  <rcc rId="1650" sId="1">
    <oc r="L196" t="inlineStr">
      <is>
        <r>
          <t xml:space="preserve">Recibo e-social (   )                                                                                                                        Guia e-social (   )                                                                                                                                                     </t>
        </r>
        <r>
          <rPr>
            <sz val="9"/>
            <color theme="1"/>
            <rFont val="Arial"/>
            <family val="2"/>
          </rPr>
          <t>VT (  ) 2 VT DE SEG A SEX</t>
        </r>
        <r>
          <rPr>
            <b/>
            <sz val="9"/>
            <color theme="1"/>
            <rFont val="Arial"/>
            <family val="2"/>
          </rPr>
          <t xml:space="preserve">  Login  senha 12345                 </t>
        </r>
        <r>
          <rPr>
            <sz val="9"/>
            <rFont val="Arial"/>
            <family val="2"/>
          </rPr>
          <t xml:space="preserve">                                                  </t>
        </r>
        <r>
          <rPr>
            <b/>
            <sz val="9"/>
            <color rgb="FFFF0000"/>
            <rFont val="Arial"/>
            <family val="2"/>
          </rPr>
          <t xml:space="preserve">Entregar o mov. para Sr. Antônio  </t>
        </r>
        <r>
          <rPr>
            <sz val="9"/>
            <color rgb="FFFF0000"/>
            <rFont val="Arial"/>
            <family val="2"/>
          </rPr>
          <t xml:space="preserve">                          </t>
        </r>
        <r>
          <rPr>
            <sz val="9"/>
            <rFont val="Arial"/>
            <family val="2"/>
          </rPr>
          <t xml:space="preserve">                                                                    </t>
        </r>
      </is>
    </oc>
    <nc r="L196" t="inlineStr">
      <is>
        <r>
          <t xml:space="preserve">Recibo e-social (   )                                                                                                                        Guia e-social (   )                                                                                                                                                     </t>
        </r>
        <r>
          <rPr>
            <sz val="9"/>
            <color theme="1"/>
            <rFont val="Arial"/>
            <family val="2"/>
          </rPr>
          <t>VT (  ) 2 VT DE SEG A SEX</t>
        </r>
        <r>
          <rPr>
            <b/>
            <sz val="9"/>
            <color theme="1"/>
            <rFont val="Arial"/>
            <family val="2"/>
          </rPr>
          <t xml:space="preserve">  Login  senha 12345         2 vt seg a sabado        </t>
        </r>
        <r>
          <rPr>
            <sz val="9"/>
            <rFont val="Arial"/>
            <family val="2"/>
          </rPr>
          <t xml:space="preserve">                                                  </t>
        </r>
        <r>
          <rPr>
            <b/>
            <sz val="9"/>
            <color rgb="FFFF0000"/>
            <rFont val="Arial"/>
            <family val="2"/>
          </rPr>
          <t xml:space="preserve">Entregar o mov. para Sr. Antônio  </t>
        </r>
        <r>
          <rPr>
            <sz val="9"/>
            <color rgb="FFFF0000"/>
            <rFont val="Arial"/>
            <family val="2"/>
          </rPr>
          <t xml:space="preserve">                          </t>
        </r>
        <r>
          <rPr>
            <sz val="9"/>
            <rFont val="Arial"/>
            <family val="2"/>
          </rPr>
          <t xml:space="preserve">                                                                    </t>
        </r>
      </is>
    </nc>
  </rcc>
  <rcc rId="1651" sId="1">
    <oc r="H196" t="inlineStr">
      <is>
        <t>S/M</t>
      </is>
    </oc>
    <nc r="H196" t="inlineStr">
      <is>
        <t>DOMÉSTICO</t>
      </is>
    </nc>
  </rcc>
  <rcc rId="1652" sId="1">
    <oc r="I196">
      <v>0</v>
    </oc>
    <nc r="I196">
      <v>1</v>
    </nc>
  </rcc>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3" sId="1">
    <oc r="A404">
      <v>967</v>
    </oc>
    <nc r="A404">
      <v>867</v>
    </nc>
  </rcc>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4" sId="2">
    <oc r="C339" t="inlineStr">
      <is>
        <t xml:space="preserve">RECARGA DE VALE TRANSPORTE É FEITA NA EMPRESA MESMO.( DESCONTAR 6% DE VT CLARA,JOSE MARIA,KAIQUE,RENE,RODRIGO TEIXEIRA E SAMUEL)AS COMISSÕES SÃO PASSADAS VALORES INTEGRAIS E SEPARAMOS O DSR AQUI( esta na planilha em P:\documentos\OneDrive - Novus Contabilidade\NOVO DOC COMPARTILHADO\Pessoal\Relatórios Sefip\BOA VISTA PROTESE\2019) Passa fechamento todo mês no dia 02 OU 03. Tem plano de saude e descontos exames,devido a isso passa o fechamneto depois do dia 02.Tem duas convençoes motorista e saude dESCONTO DE ALIMENTAÇÃO DOS MOTOBOYS É DE 20% DA RECARGA QUE ELE FAZ,FAZER ALTERAÇÃO POIS ELE LANÇA O VALOR TOTAL.PLANO PLASC CASO PRECISE É LOGIN 1554 E A SENHA O CNPJ DA EMPRESA.(no boleto vem o número do contrato. Este número do contrato é o login (excluindo o 9 que vem na frente)
</t>
      </is>
    </oc>
    <nc r="C339" t="inlineStr">
      <is>
        <t xml:space="preserve">RECARGA DE VALE TRANSPORTE É FEITA NA EMPRESA MESMO.( DESCONTAR 6% DE VT CLARA,JOSE MARIA,KAIQUE,RENE,RODRIGO TEIXEIRA E SAMUEL)AS COMISSÕES SÃO PASSADAS VALORES INTEGRAIS E SEPARAMOS O DSR AQUI( esta na planilha em P:\documentos\OneDrive - Novus Contabilidade\NOVO DOC COMPARTILHADO\Pessoal\Relatórios Sefip\BOA VISTA PROTESE\2019) Passa fechamento todo mês no dia 02 OU 03. Tem plano de saude e descontos exames,devido a isso passa o fechamneto depois do dia 02.Tem duas convençoes motorista e saude dESCONTO DE ALIMENTAÇÃO DOS MOTOBOYS É DE 20% DA RECARGA QUE ELE FAZ,FAZER ALTERAÇÃO POIS ELE LANÇA O VALOR TOTAL.PLANO PLASC CASO PRECISE É LOGIN 1554 E A SENHA O CNPJ DA EMPRESA.(no boleto vem o número do contrato. Este número do contrato é o login (excluindo o 9 que vem na frente)Tem uma retenção de nota que a empresa que retem manda a guia pra eles mensalmente.
</t>
      </is>
    </nc>
  </rcc>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2" customView="1" name="Z_DFB7C661_5C1D_4491_B5BB_D24125818F62_.wvu.FilterData" hidden="1" oldHidden="1">
    <formula>Particularidade!$A$1:$D$220</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Empresas'!$A$1:$M$420</formula>
    <oldFormula>'Controle Empresas'!$A$1:$M$420</oldFormula>
  </rdn>
  <rcv guid="{DFB7C661-5C1D-4491-B5BB-D24125818F62}"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8" sId="1">
    <oc r="L248" t="inlineStr">
      <is>
        <t xml:space="preserve">Recibo e-social (   )                                                                                          Guia e-social (   )                                                                                                       (  ) VT 2 vt 3x por semana                                                                         Login: 47471247649 senha 12345                                                    </t>
      </is>
    </oc>
    <nc r="L248" t="inlineStr">
      <is>
        <t xml:space="preserve">Recibo e-social (   )                                                                                          Guia e-social (   )                                                                                                       (  ) VT 2 vt 3x por semana                                                                         Login: 47471247649 senha 12345                            TEM PARTICULARIDADES                        </t>
      </is>
    </nc>
  </rcc>
  <rcc rId="1659" sId="1">
    <oc r="L283" t="inlineStr">
      <is>
        <r>
          <t xml:space="preserve">Recibo e-social (   )                                                                                                             Guia e-social (   )                                                                                                                            FOLHA DE PONTO (  )                                                                                            3VT DE SEG A SEXTA (  )   Login 01379922623 senha 12345                                                                                      </t>
        </r>
        <r>
          <rPr>
            <b/>
            <sz val="8"/>
            <color rgb="FFFF0000"/>
            <rFont val="Arial"/>
            <family val="2"/>
          </rPr>
          <t>Fechar em R$1300,00 liquido  - BILHETE UNICO</t>
        </r>
      </is>
    </oc>
    <nc r="L283" t="inlineStr">
      <is>
        <r>
          <t xml:space="preserve">Recibo e-social (   )                                                                                                             Guia e-social (   )                                                                                                                            FOLHA DE PONTO (  )                                                                                            3VT DE SEG A SEXTA (  )   Login 01379922623 senha 12345                                                                                      </t>
        </r>
        <r>
          <rPr>
            <b/>
            <sz val="8"/>
            <color rgb="FFFF0000"/>
            <rFont val="Arial"/>
            <family val="2"/>
          </rPr>
          <t>Fechar em R$1300,00 liquido  - BILHETE UNICO - TEM PARTICULARIDADES</t>
        </r>
      </is>
    </nc>
  </rcc>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0" sId="2">
    <oc r="D3" t="inlineStr">
      <is>
        <t xml:space="preserve"> (HORISTA  3 HR POR DIA)</t>
      </is>
    </oc>
    <nc r="D3"/>
  </rcc>
  <rcc rId="1661" sId="2">
    <oc r="C3" t="inlineStr">
      <is>
        <r>
          <t xml:space="preserve">• FUNCIONARIOS: GILBERTO, FABRICIO, RAFAEL  - COLOCAR 3HR TRABALHADAS POR MÊS (JÁ ESTÁ CADASTRADO) </t>
        </r>
        <r>
          <rPr>
            <b/>
            <sz val="10"/>
            <color rgb="FFFF0000"/>
            <rFont val="Calibri"/>
            <family val="2"/>
          </rPr>
          <t>RODOLFO LANÇAR  2 hrs por dia)</t>
        </r>
        <r>
          <rPr>
            <sz val="10"/>
            <rFont val="Calibri"/>
            <family val="2"/>
          </rPr>
          <t xml:space="preserve">
• O AUMENTO SALARIAL DEVE SER FEITO PELO SINDICATO OU PELO SALARIO MINIMO, O QUE FOR MAIOR 8,5 SALARIO MÍNIMO
• CARLOS TRABALHA</t>
        </r>
        <r>
          <rPr>
            <sz val="10"/>
            <color indexed="10"/>
            <rFont val="Calibri"/>
            <family val="2"/>
          </rPr>
          <t xml:space="preserve"> 2 HRS POR DIA</t>
        </r>
        <r>
          <rPr>
            <sz val="10"/>
            <rFont val="Calibri"/>
            <family val="2"/>
          </rPr>
          <t xml:space="preserve"> (2º A 6ª) </t>
        </r>
        <r>
          <rPr>
            <b/>
            <sz val="10"/>
            <color indexed="10"/>
            <rFont val="Calibri"/>
            <family val="2"/>
          </rPr>
          <t>JÁ TEM FORMULA NO FUNCIONÁRIO .</t>
        </r>
        <r>
          <rPr>
            <b/>
            <sz val="10"/>
            <rFont val="Calibri"/>
            <family val="2"/>
          </rPr>
          <t>.PODE TIRAR AS FÉRIAS ANTES DE VENCER A SEGUNDA E SOMENTE AVISAR QUE ESTA MANDANDO O RECIBO DE FÉRIAS.</t>
        </r>
      </is>
    </oc>
    <nc r="C3" t="inlineStr">
      <is>
        <t>não tem funcionario. So pro labore</t>
      </is>
    </nc>
  </rcc>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2" sId="2">
    <oc r="C15" t="inlineStr">
      <is>
        <r>
          <t xml:space="preserve">• TEM PLANO DE SAUDE A SER DESCONTADO DOS SOCIOS; </t>
        </r>
        <r>
          <rPr>
            <sz val="10"/>
            <color rgb="FFFF0000"/>
            <rFont val="Calibri"/>
            <family val="2"/>
          </rPr>
          <t>SOLICITAR OS VALORES DO PLANO DE SAÚDE</t>
        </r>
        <r>
          <rPr>
            <sz val="10"/>
            <rFont val="Calibri"/>
            <family val="2"/>
          </rPr>
          <t xml:space="preserve">
• PASSA A QUANTIDADE DE VT QUE FUNCIONARIO UTILIZA; BOLETO ASTRANSP CNPJ 09.059.360/0001-33 SENHA 12345, ENVIAR JUNTO O HISTORICO DO PEDIDO (2 POR DIA 2º A 6º)
• LANÇAR GEFIP AA ARSENIC</t>
        </r>
      </is>
    </oc>
    <nc r="C15" t="inlineStr">
      <is>
        <r>
          <t xml:space="preserve">• TEM PLANO DE SAUDE A SER DESCONTADO DOS SOCIOS; </t>
        </r>
        <r>
          <rPr>
            <sz val="10"/>
            <color rgb="FFFF0000"/>
            <rFont val="Calibri"/>
            <family val="2"/>
          </rPr>
          <t>SOLICITAR OS VALORES DO PLANO DE SAÚDE</t>
        </r>
        <r>
          <rPr>
            <sz val="10"/>
            <rFont val="Calibri"/>
            <family val="2"/>
          </rPr>
          <t xml:space="preserve">
•</t>
        </r>
        <r>
          <rPr>
            <b/>
            <sz val="10"/>
            <rFont val="Calibri"/>
            <family val="2"/>
          </rPr>
          <t xml:space="preserve"> NÃO TEM - </t>
        </r>
        <r>
          <rPr>
            <sz val="10"/>
            <rFont val="Calibri"/>
            <family val="2"/>
          </rPr>
          <t>PASSA A QUANTIDADE DE VT QUE FUNCIONARIO UTILIZA; BOLETO ASTRANSP CNPJ 09.059.360/0001-33 SENHA 12345, ENVIAR JUNTO O HISTORICO DO PEDIDO (2 POR DIA 2º A 6º)
• LANÇAR GEFIP AA ARSENIC</t>
        </r>
      </is>
    </nc>
  </rcc>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3" sId="1">
    <oc r="L13" t="inlineStr">
      <is>
        <r>
          <t xml:space="preserve">Pro labore (   )  
INSS (   ) 
 GFIP (   )
Tem Plano de Saúde
</t>
        </r>
        <r>
          <rPr>
            <b/>
            <sz val="10"/>
            <color rgb="FFFF0000"/>
            <rFont val="Arial"/>
            <family val="2"/>
          </rPr>
          <t>Passa mensalmente o valor da distribuição de lucros e plano de saúde do Nikola por e-mail</t>
        </r>
      </is>
    </oc>
    <nc r="L13" t="inlineStr">
      <is>
        <r>
          <t xml:space="preserve">Pro labore (   )  
INSS (   ) 
 GFIP (   )
Tem Plano de Saúde lançar codigo 208
</t>
        </r>
        <r>
          <rPr>
            <b/>
            <sz val="10"/>
            <color rgb="FFFF0000"/>
            <rFont val="Arial"/>
            <family val="2"/>
          </rPr>
          <t>Passa mensalmente o valor da distribuição de lucros e plano de saúde do Nikola por e-mail</t>
        </r>
      </is>
    </nc>
  </rcc>
  <rcc rId="1664" sId="1">
    <oc r="L31" t="inlineStr">
      <is>
        <r>
          <t>Pro labore (   )
INSS (   )
GFIP (   )</t>
        </r>
        <r>
          <rPr>
            <sz val="10"/>
            <color rgb="FFFF0000"/>
            <rFont val="Arial"/>
            <family val="2"/>
          </rPr>
          <t xml:space="preserve"> Tem Plano de saude.Login nas particularidades</t>
        </r>
      </is>
    </oc>
    <nc r="L31" t="inlineStr">
      <is>
        <r>
          <t>Pro labore (   )
INSS (   ) lançar codigo 202 - plano de saude
GFIP (   )</t>
        </r>
        <r>
          <rPr>
            <sz val="10"/>
            <color rgb="FFFF0000"/>
            <rFont val="Arial"/>
            <family val="2"/>
          </rPr>
          <t xml:space="preserve"> Tem Plano de saude.Login nas particularidades</t>
        </r>
      </is>
    </nc>
  </rcc>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5" sId="2">
    <oc r="C125" t="inlineStr">
      <is>
        <r>
          <t xml:space="preserve">Começou a ter plano de saúde em outubro, </t>
        </r>
        <r>
          <rPr>
            <sz val="10"/>
            <color rgb="FFFF0000"/>
            <rFont val="Calibri"/>
            <family val="2"/>
          </rPr>
          <t>SOLICITAR OS VALORES DO PLANO DE SAÚDE - Plasc Login: 4940 Senha: hejovi705</t>
        </r>
      </is>
    </oc>
    <nc r="C125" t="inlineStr">
      <is>
        <r>
          <t xml:space="preserve">Começou a ter plano de saúde em outubro, </t>
        </r>
        <r>
          <rPr>
            <sz val="10"/>
            <color rgb="FFFF0000"/>
            <rFont val="Calibri"/>
            <family val="2"/>
          </rPr>
          <t>SOLICITAR OS VALORES DO PLANO DE SAÚDE - Plasc Login: 4940 Senha: hejovi705 - codigo 220 plano saude</t>
        </r>
      </is>
    </nc>
  </rcc>
  <rcc rId="1666" sId="2">
    <oc r="C126" t="inlineStr">
      <is>
        <r>
          <t xml:space="preserve">• </t>
        </r>
        <r>
          <rPr>
            <b/>
            <sz val="10"/>
            <rFont val="Calibri"/>
            <family val="2"/>
          </rPr>
          <t>NÃO</t>
        </r>
        <r>
          <rPr>
            <sz val="10"/>
            <rFont val="Calibri"/>
            <family val="2"/>
          </rPr>
          <t xml:space="preserve"> MANDAR MOVIMENTO ZIPADO E TEM PLANO DE SAUDE A SER LANÇADO NO PRO LABORE. PEGAR EXTRATO EM :</t>
        </r>
        <r>
          <rPr>
            <sz val="10"/>
            <color rgb="FFFF0000"/>
            <rFont val="Calibri"/>
            <family val="2"/>
          </rPr>
          <t xml:space="preserve">http://www.plasc.org.br/     - </t>
        </r>
        <r>
          <rPr>
            <sz val="10"/>
            <rFont val="Calibri"/>
            <family val="2"/>
          </rPr>
          <t xml:space="preserve"> AREA DO CLIENTE LOGIN: 2653  SENHA: 86542966000176
</t>
        </r>
      </is>
    </oc>
    <nc r="C126" t="inlineStr">
      <is>
        <r>
          <t xml:space="preserve">• </t>
        </r>
        <r>
          <rPr>
            <b/>
            <sz val="10"/>
            <rFont val="Calibri"/>
            <family val="2"/>
          </rPr>
          <t>NÃO</t>
        </r>
        <r>
          <rPr>
            <sz val="10"/>
            <rFont val="Calibri"/>
            <family val="2"/>
          </rPr>
          <t xml:space="preserve"> MANDAR MOVIMENTO ZIPADO E TEM PLANO DE SAUDE A SER LANÇADO NO PRO LABORE. PEGAR EXTRATO EM :</t>
        </r>
        <r>
          <rPr>
            <sz val="10"/>
            <color rgb="FFFF0000"/>
            <rFont val="Calibri"/>
            <family val="2"/>
          </rPr>
          <t xml:space="preserve">http://www.plasc.org.br/     - </t>
        </r>
        <r>
          <rPr>
            <sz val="10"/>
            <rFont val="Calibri"/>
            <family val="2"/>
          </rPr>
          <t xml:space="preserve"> AREA DO CLIENTE LOGIN: 2653  SENHA: 86542966000176 
</t>
        </r>
      </is>
    </nc>
  </rcc>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5" sId="1">
    <oc r="H17" t="inlineStr">
      <is>
        <t>N</t>
      </is>
    </oc>
    <nc r="H17" t="inlineStr">
      <is>
        <t>S/M</t>
      </is>
    </nc>
  </rcc>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76" sId="2" ref="A317:XFD31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677" sId="2">
    <nc r="A317">
      <v>757</v>
    </nc>
  </rcc>
  <rcc rId="1678" sId="2">
    <nc r="B317" t="inlineStr">
      <is>
        <t>FELIPE OLIVEIRA</t>
      </is>
    </nc>
  </rcc>
  <rcc rId="1679" sId="2">
    <nc r="C317" t="inlineStr">
      <is>
        <t>verificar o valor de vt das funcionárias kerolyn e  Carolina</t>
      </is>
    </nc>
  </rcc>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0" sId="1" odxf="1" dxf="1">
    <oc r="H253" t="inlineStr">
      <is>
        <t>N</t>
      </is>
    </oc>
    <nc r="H253" t="inlineStr">
      <is>
        <t>S/M</t>
      </is>
    </nc>
    <ndxf>
      <font>
        <sz val="8"/>
        <color auto="1"/>
        <name val="Arial"/>
        <scheme val="none"/>
      </font>
      <fill>
        <patternFill patternType="none">
          <bgColor indexed="65"/>
        </patternFill>
      </fill>
      <alignment wrapText="1" shrinkToFit="1" readingOrder="0"/>
    </ndxf>
  </rcc>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253:XFD253">
    <dxf>
      <fill>
        <patternFill>
          <bgColor theme="0"/>
        </patternFill>
      </fill>
    </dxf>
  </rfmt>
  <rfmt sheetId="1" sqref="A255:XFD255">
    <dxf>
      <fill>
        <patternFill>
          <bgColor theme="0"/>
        </patternFill>
      </fill>
    </dxf>
  </rfmt>
  <rfmt sheetId="1" sqref="A240:XFD240">
    <dxf>
      <fill>
        <patternFill>
          <bgColor theme="0"/>
        </patternFill>
      </fill>
    </dxf>
  </rfmt>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1" sId="1">
    <oc r="H360" t="inlineStr">
      <is>
        <t>N</t>
      </is>
    </oc>
    <nc r="H360" t="inlineStr">
      <is>
        <t>S/M</t>
      </is>
    </nc>
  </rcc>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2" sId="1" odxf="1" dxf="1">
    <oc r="H220" t="inlineStr">
      <is>
        <t>N</t>
      </is>
    </oc>
    <nc r="H220" t="inlineStr">
      <is>
        <t>S/M</t>
      </is>
    </nc>
    <odxf>
      <font>
        <sz val="10"/>
        <color auto="1"/>
        <name val="Arial"/>
        <scheme val="none"/>
      </font>
      <alignment shrinkToFit="0" readingOrder="0"/>
    </odxf>
    <ndxf>
      <font>
        <sz val="8"/>
        <color auto="1"/>
        <name val="Arial"/>
        <scheme val="none"/>
      </font>
      <alignment shrinkToFit="1" readingOrder="0"/>
    </ndxf>
  </rcc>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3" sId="1">
    <oc r="H277" t="inlineStr">
      <is>
        <t>N</t>
      </is>
    </oc>
    <nc r="H277" t="inlineStr">
      <is>
        <t>S/M</t>
      </is>
    </nc>
  </rcc>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4" sId="1">
    <oc r="H378" t="inlineStr">
      <is>
        <t>N</t>
      </is>
    </oc>
    <nc r="H378" t="inlineStr">
      <is>
        <t>S/M</t>
      </is>
    </nc>
  </rcc>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5" sId="1">
    <oc r="L332" t="inlineStr">
      <is>
        <t>S/M 05/2016</t>
      </is>
    </oc>
    <nc r="L332" t="inlineStr">
      <is>
        <t>S/M 05/2016 saiu 03.2020</t>
      </is>
    </nc>
  </rcc>
  <rcv guid="{DAEEB123-9C5D-4BF0-8F09-E7DEBC62D826}" action="delete"/>
  <rdn rId="0" localSheetId="2" customView="1" name="Z_DAEEB123_9C5D_4BF0_8F09_E7DEBC62D826_.wvu.FilterData" hidden="1" oldHidden="1">
    <formula>Particularidade!$A$1:$D$220</formula>
    <oldFormula>Particularidade!$A$1:$D$220</oldFormula>
  </rdn>
  <rdn rId="0" localSheetId="1" customView="1" name="Z_DAEEB123_9C5D_4BF0_8F09_E7DEBC62D826_.wvu.Cols" hidden="1" oldHidden="1">
    <formula>'Controle Empresas'!$C:$F,'Controle Empresas'!$M:$M</formula>
    <oldFormula>'Controle Empresas'!$C:$F,'Controle Empresas'!$M:$M</oldFormula>
  </rdn>
  <rdn rId="0" localSheetId="1" customView="1" name="Z_DAEEB123_9C5D_4BF0_8F09_E7DEBC62D826_.wvu.FilterData" hidden="1" oldHidden="1">
    <formula>'Controle Empresas'!$A$1:$M$420</formula>
    <oldFormula>'Controle Empresas'!$A$1:$M$420</oldFormula>
  </rdn>
  <rcv guid="{DAEEB123-9C5D-4BF0-8F09-E7DEBC62D826}" action="add"/>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9" sId="1">
    <oc r="H145" t="inlineStr">
      <is>
        <t>S</t>
      </is>
    </oc>
    <nc r="H145" t="inlineStr">
      <is>
        <t>SAIU/BAIXADO</t>
      </is>
    </nc>
  </rcc>
  <rcc rId="1690" sId="1">
    <oc r="L145" t="inlineStr">
      <is>
        <t>Pro labore (   )
INSS (   )
GFIP (   )</t>
      </is>
    </oc>
    <nc r="L145" t="inlineStr">
      <is>
        <t>Pro labore (   ) saiu 02.2020
INSS (   )
GFIP (   )</t>
      </is>
    </nc>
  </rcc>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1" sId="1">
    <oc r="H394" t="inlineStr">
      <is>
        <t>N</t>
      </is>
    </oc>
    <nc r="H394" t="inlineStr">
      <is>
        <t>VERIFICAR EMISSA DE NF</t>
      </is>
    </nc>
  </rcc>
  <rcc rId="1692" sId="1" odxf="1" dxf="1">
    <oc r="H400" t="inlineStr">
      <is>
        <t>N</t>
      </is>
    </oc>
    <nc r="H400" t="inlineStr">
      <is>
        <t>VERIFICAR EMISSA DE NF</t>
      </is>
    </nc>
    <odxf>
      <font>
        <sz val="9"/>
        <color auto="1"/>
        <name val="Arial"/>
        <scheme val="none"/>
      </font>
    </odxf>
    <ndxf>
      <font>
        <sz val="10"/>
        <color auto="1"/>
        <name val="Arial"/>
        <scheme val="none"/>
      </font>
    </ndxf>
  </rcc>
  <rcc rId="1693" sId="1" odxf="1" dxf="1">
    <oc r="H401" t="inlineStr">
      <is>
        <t>N</t>
      </is>
    </oc>
    <nc r="H401" t="inlineStr">
      <is>
        <t>VERIFICAR EMISSA DE NF</t>
      </is>
    </nc>
    <odxf>
      <font>
        <sz val="8"/>
        <color auto="1"/>
        <name val="Arial"/>
        <scheme val="none"/>
      </font>
    </odxf>
    <ndxf>
      <font>
        <sz val="10"/>
        <color auto="1"/>
        <name val="Arial"/>
        <scheme val="none"/>
      </font>
    </ndxf>
  </rcc>
  <rcc rId="1694" sId="1" odxf="1" dxf="1">
    <nc r="H402" t="inlineStr">
      <is>
        <t>VERIFICAR EMISSA DE NF</t>
      </is>
    </nc>
    <odxf>
      <font>
        <sz val="8"/>
        <color auto="1"/>
        <name val="Arial"/>
        <scheme val="none"/>
      </font>
    </odxf>
    <ndxf>
      <font>
        <sz val="10"/>
        <color auto="1"/>
        <name val="Arial"/>
        <scheme val="none"/>
      </font>
    </ndxf>
  </rcc>
  <rcc rId="1695" sId="1" odxf="1" dxf="1">
    <oc r="H403" t="inlineStr">
      <is>
        <t>N</t>
      </is>
    </oc>
    <nc r="H403" t="inlineStr">
      <is>
        <t>VERIFICAR EMISSA DE NF</t>
      </is>
    </nc>
    <odxf>
      <font>
        <sz val="8"/>
        <color auto="1"/>
        <name val="Arial"/>
        <scheme val="none"/>
      </font>
    </odxf>
    <ndxf>
      <font>
        <sz val="10"/>
        <color auto="1"/>
        <name val="Arial"/>
        <scheme val="none"/>
      </font>
    </ndxf>
  </rcc>
  <rcc rId="1696" sId="1" odxf="1" dxf="1">
    <oc r="H301" t="inlineStr">
      <is>
        <t>N</t>
      </is>
    </oc>
    <nc r="H301" t="inlineStr">
      <is>
        <t>VERIFICAR EMISSA DE NF</t>
      </is>
    </nc>
    <odxf>
      <fill>
        <patternFill patternType="solid">
          <bgColor theme="9" tint="0.59999389629810485"/>
        </patternFill>
      </fill>
    </odxf>
    <ndxf>
      <fill>
        <patternFill patternType="none">
          <bgColor indexed="65"/>
        </patternFill>
      </fill>
    </ndxf>
  </rcc>
  <rfmt sheetId="1" sqref="H292" start="0" length="0">
    <dxf>
      <font>
        <sz val="10"/>
        <color auto="1"/>
        <name val="Arial"/>
        <scheme val="none"/>
      </font>
      <fill>
        <patternFill patternType="none">
          <bgColor indexed="65"/>
        </patternFill>
      </fill>
      <alignment shrinkToFit="1" readingOrder="0"/>
    </dxf>
  </rfmt>
  <rcc rId="1697" sId="1">
    <oc r="H292" t="inlineStr">
      <is>
        <t>S/M</t>
      </is>
    </oc>
    <nc r="H292" t="inlineStr">
      <is>
        <t xml:space="preserve">VERIFICAR EMISSA DE NF </t>
      </is>
    </nc>
  </rcc>
  <rcc rId="1698" sId="1">
    <oc r="L292" t="inlineStr">
      <is>
        <r>
          <t xml:space="preserve">Pro labore (   )
INSS (   )
GFIP (   )                                    </t>
        </r>
        <r>
          <rPr>
            <b/>
            <sz val="9"/>
            <color rgb="FFFF0000"/>
            <rFont val="Arial"/>
            <family val="2"/>
          </rPr>
          <t xml:space="preserve"> GFIP s/m 11/2018</t>
        </r>
      </is>
    </oc>
    <nc r="L292" t="inlineStr">
      <is>
        <r>
          <t xml:space="preserve">Pro labore (   )
INSS (   )
GFIP (   )                                    </t>
        </r>
        <r>
          <rPr>
            <b/>
            <sz val="9"/>
            <color rgb="FFFF0000"/>
            <rFont val="Arial"/>
            <family val="2"/>
          </rPr>
          <t xml:space="preserve"> GFIP s/m 11/2018 VER NF NO SETOR FISCAL</t>
        </r>
      </is>
    </nc>
  </rcc>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9" sId="2">
    <oc r="C317" t="inlineStr">
      <is>
        <t>verificar o valor de vt das funcionárias kerolyn e  Carolina</t>
      </is>
    </oc>
    <nc r="C317" t="inlineStr">
      <is>
        <t>verificar o valor de vt das funcionárias kerolyn e  Carolina. Fixo todo mês. R$ 161,25</t>
      </is>
    </nc>
  </rcc>
  <rcv guid="{590CEBDA-E7AE-4D8D-8613-56208662CCA9}" action="delete"/>
  <rdn rId="0" localSheetId="2" customView="1" name="Z_590CEBDA_E7AE_4D8D_8613_56208662CCA9_.wvu.FilterData" hidden="1" oldHidden="1">
    <formula>Particularidade!$A$1:$D$220</formula>
  </rdn>
  <rdn rId="0" localSheetId="1" customView="1" name="Z_590CEBDA_E7AE_4D8D_8613_56208662CCA9_.wvu.Cols" hidden="1" oldHidden="1">
    <formula>'Controle Empresas'!$C:$F,'Controle Empresas'!$M:$M</formula>
    <oldFormula>'Controle Empresas'!$C:$F,'Controle Empresas'!$M:$M</oldFormula>
  </rdn>
  <rdn rId="0" localSheetId="1" customView="1" name="Z_590CEBDA_E7AE_4D8D_8613_56208662CCA9_.wvu.FilterData" hidden="1" oldHidden="1">
    <formula>'Controle Empresas'!$A$1:$M$420</formula>
    <oldFormula>'Controle Empresas'!$A$1:$M$420</oldFormula>
  </rdn>
  <rcv guid="{590CEBDA-E7AE-4D8D-8613-56208662CCA9}"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3" sId="1">
    <oc r="L346" t="inlineStr">
      <is>
        <r>
          <t xml:space="preserve">Recibo mPgto (   )  
INSS (   )
GFIP (   )                  </t>
        </r>
        <r>
          <rPr>
            <b/>
            <sz val="9"/>
            <color rgb="FFFF0000"/>
            <rFont val="Arial"/>
            <family val="2"/>
          </rPr>
          <t xml:space="preserve"> INICIO COMPETENCIA 07</t>
        </r>
      </is>
    </oc>
    <nc r="L346" t="inlineStr">
      <is>
        <r>
          <t xml:space="preserve">Recibo mPgto (   )  
INSS (   )
GFIP (   )     </t>
        </r>
        <r>
          <rPr>
            <b/>
            <sz val="9"/>
            <rFont val="Arial"/>
            <family val="2"/>
          </rPr>
          <t>PAGA SEMPRE NO ULTIMO DIA DO MES</t>
        </r>
      </is>
    </nc>
  </rcc>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4" sId="2">
    <oc r="C28" t="inlineStr">
      <is>
        <r>
          <t xml:space="preserve">• LANÇAR SEGURO DE VIDA NO CADASTRO DO FUNCIONARIO COD 634 - R$. 0,28 - </t>
        </r>
        <r>
          <rPr>
            <b/>
            <sz val="10"/>
            <color indexed="10"/>
            <rFont val="Calibri"/>
            <family val="2"/>
          </rPr>
          <t xml:space="preserve">JÁ ESTÁ LANÇADO NO CADASTRO DO FUNCIONÁRIO </t>
        </r>
        <r>
          <rPr>
            <sz val="10"/>
            <color indexed="8"/>
            <rFont val="Calibri"/>
            <family val="2"/>
          </rPr>
          <t>(PERGUNTAR QUANDO VAI COMEÇAR LANÇAR O DESCONTO DO SEGURO FUNCIONÁRIO NOVO) GERAR BOLETO DE VT PARA A FUNC. JANETE 2 VT DE SEG A SEXTA . LOGIN: 10509787000175 SENHA:12345</t>
        </r>
        <r>
          <rPr>
            <sz val="10"/>
            <rFont val="Calibri"/>
            <family val="2"/>
          </rPr>
          <t xml:space="preserve">
• FAZER RECIBO DE ALIMENTAÇÃO VALOR R$. 13,20 POR DIA 2º A 6º - RECIBO POR FORA ( fazer sempre do mês estamos).
• FRANCISCO  - PENSÃO ALIMENTICIA - 40% DO VALOR LÍQUIDO DA FOLHA (NÃO ABATER VT, NEM ADIANTAMENTO) - INCLUSIVE SOBRE 13º SALÁRIO
• O SALARIO DEVE SER PAGO ATÉ DIA 5 DO MÊS SUBSEQUENTE 
• FAZER ADIANTAMENTO DE SALARIO ATÉ O DIA 20 DE CADA MÊS - 40% DO SALÁRIO NOMINAL (SÓ A NÉIA QUE NÃO FAZ ADIANTAMENTO SALÁRIO) - MANDAR POR site
Gerar os recibos de ferias sempre no primeiro semestre. Ligar para perguntar quais meses e qual funcionário fara os recibos. ATENTAR NAS FERIAS,NÃO EMITIR O ADIANTAMENTO NAQUELE MES,PARA NÃO FICAR NEGATIVO.</t>
        </r>
      </is>
    </oc>
    <nc r="C28" t="inlineStr">
      <is>
        <r>
          <t xml:space="preserve">• LANÇAR SEGURO DE VIDA NO CADASTRO DO FUNCIONARIO COD 634 - R$. 0,28 - </t>
        </r>
        <r>
          <rPr>
            <b/>
            <sz val="10"/>
            <color indexed="10"/>
            <rFont val="Calibri"/>
            <family val="2"/>
          </rPr>
          <t xml:space="preserve">JÁ ESTÁ LANÇADO NO CADASTRO DO FUNCIONÁRIO </t>
        </r>
        <r>
          <rPr>
            <sz val="10"/>
            <color indexed="8"/>
            <rFont val="Calibri"/>
            <family val="2"/>
          </rPr>
          <t>(PERGUNTAR QUANDO VAI COMEÇAR LANÇAR O DESCONTO DO SEGURO FUNCIONÁRIO NOVO) GERAR BOLETO DE VT PARA A FUNC. JANETE 2 VT DE SEG A SEXTA . LOGIN: 10509787000175 SENHA:12345</t>
        </r>
        <r>
          <rPr>
            <sz val="10"/>
            <rFont val="Calibri"/>
            <family val="2"/>
          </rPr>
          <t xml:space="preserve">
• FAZER RECIBO DE ALIMENTAÇÃO VALOR R$. 13,20 POR DIA 2º A 6º - RECIBO POR FORA ( fazer sempre do mês estamos).
• FRANCISCO  - PENSÃO ALIMENTICIA - 40% DO VALOR LÍQUIDO DA FOLHA (NÃO ABATER VT, NEM ADIANTAMENTO) - INCLUSIVE SOBRE 13º SALÁRIO
• O SALARIO DEVE SER PAGO ATÉ DIA 5 DO MÊS SUBSEQUENTE 
• FAZER ADIANTAMENTO DE SALARIO ATÉ O DIA 20 DE CADA MÊS - 40% DO SALÁRIO NOMINAL (SÓ A NÉIA QUE NÃO FAZ ADIANTAMENTO SALÁRIO) - MANDAR POR site
Gerar os recibos de ferias sempre no primeiro semestre. Ligar para perguntar quais meses e qual funcionário fara os recibos. ATENTAR NAS FERIAS,NÃO EMITIR O ADIANTAMENTO NAQUELE MES,PARA NÃO FICAR NEGATIVO.</t>
        </r>
        <r>
          <rPr>
            <sz val="10"/>
            <color rgb="FFFF0000"/>
            <rFont val="Calibri"/>
            <family val="2"/>
          </rPr>
          <t>A empresa tem NF com retençaõ porém a empresa a guia é enviada pela empresa.</t>
        </r>
      </is>
    </nc>
  </rcc>
  <rcv guid="{DFB7C661-5C1D-4491-B5BB-D24125818F62}" action="delete"/>
  <rdn rId="0" localSheetId="2" customView="1" name="Z_DFB7C661_5C1D_4491_B5BB_D24125818F62_.wvu.FilterData" hidden="1" oldHidden="1">
    <formula>Particularidade!$A$1:$D$220</formula>
    <oldFormula>Particularidade!$A$1:$D$220</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Empresas'!$A$1:$M$420</formula>
    <oldFormula>'Controle Empresas'!$A$1:$M$420</oldFormula>
  </rdn>
  <rcv guid="{DFB7C661-5C1D-4491-B5BB-D24125818F62}"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8" sId="2">
    <oc r="C190" t="inlineStr">
      <is>
        <r>
          <t>• ENVIAR O FOLHA ATÉ O DIA 27
• SOLICITAR AUXÍLIO ALIMENTAÇÃO ATÉ 25 NO SITE, WWW.BIGCARD.COM.BR - COD 70003 - CPF: 55321020663 - SENHA: 1234 - DISPONIBILIDADE DO BENEFÍCIO DIA 1º DE CADA MÊS - CALCULAR • DIAS UTEIS  - 2º A 6º. IR EM LANCAMENTO DE CREDITOS DIGITAR A DATA DO CREDITO E O VALOR E PEDIR PARA VISUALIZAR - VALOR R$ 18,47 (POR DIA) (janeiro aumenta) Pedro Henrique não tem vale alimentação pois trabalha menos horas.</t>
        </r>
        <r>
          <rPr>
            <sz val="10"/>
            <color rgb="FFFF0000"/>
            <rFont val="Calibri"/>
            <family val="2"/>
          </rPr>
          <t>Valor do anuênio é de $24,43 anual ( o Valor é aumentado a cada ano).</t>
        </r>
        <r>
          <rPr>
            <sz val="10"/>
            <rFont val="Calibri"/>
            <family val="2"/>
          </rPr>
          <t xml:space="preserve">
• A EMPRESA BIG CARD ENCAMINHA O BOLETO PARA A PROTEGE (IMPRIMIR DEMONSTRATIVO)
• DESCONTAR NA FOLHA DE PGTO 20% SOBRE O VALOR DA RECARGA DO MÊS DE COMPETÊNCIA DA FOLHA VISUALIZAR NO LANÇAMENTO DE CREDITO,CONSULTA DE CREDITO COMPETENCIA.VIZUALIZAR MES QUE IRA FECHAR.
• A RECARGA SERÁ DO MÊS POSTERIOR AO DA COMPETÊCIA DA FOLHA DE PAGAMENTO GERADA.
• FAZER O RECIBO DA ASTRANSP - CNPJ 38652087000154 - SENHA: 38652087 - E ENVIAR JUNTO O HISTORICO DO PEDIDO DO VALE TRANSPORTE, Angelica e Fernanda 2 vales de segunda a sexta.
• SENHA INSS 38652087
• LANÇAR ADD POR TEMPO DE SERVIÇO  A CADA ANO DE TRABALHO. PARA VALOR DE ALIMENTAÇÃO E ANUENIO VERIFICAR CONVENÇÃO ATUALIZADA.</t>
        </r>
        <r>
          <rPr>
            <sz val="10"/>
            <color rgb="FFFF0000"/>
            <rFont val="Calibri"/>
            <family val="2"/>
          </rPr>
          <t>ATENÇÃO:</t>
        </r>
        <r>
          <rPr>
            <sz val="10"/>
            <rFont val="Calibri"/>
            <family val="2"/>
          </rPr>
          <t xml:space="preserve"> LANÇAR NA FOLHA PARTICIPAÇÃO DOS LUCROS 1° PARCELA EM JULHO QUE PAGA NA FOLHA DE AGOSTO NO 5° DIA UTIL E A 2° PARCELA EM SETEMBRO QUE PAGA NA FOLHA DE OUTUBRO.</t>
        </r>
        <r>
          <rPr>
            <sz val="10"/>
            <color rgb="FFFF0000"/>
            <rFont val="Calibri"/>
            <family val="2"/>
          </rPr>
          <t>( pedro henrique esta afastado desde 10/2019 n° do beneficio 200631515</t>
        </r>
      </is>
    </oc>
    <nc r="C190" t="inlineStr">
      <is>
        <r>
          <t>• ENVIAR O FOLHA ATÉ O DIA 27
• SOLICITAR AUXÍLIO ALIMENTAÇÃO ATÉ 25 NO SITE, WWW.BIGCARD.COM.BR - COD 70003 - CPF: 55321020663 - SENHA: 1234 - DISPONIBILIDADE DO BENEFÍCIO DIA 1º DE CADA MÊS - CALCULAR • DIAS UTEIS  - 2º A 6º. IR EM LANCAMENTO DE CREDITOS DIGITAR A DATA DO CREDITO E O VALOR E PEDIR PARA VISUALIZAR - VALOR R$ 19,30 (POR DIA) (janeiro aumenta) Pedro Henrique não tem vale alimentação pois trabalha menos horas.</t>
        </r>
        <r>
          <rPr>
            <sz val="10"/>
            <color rgb="FFFF0000"/>
            <rFont val="Calibri"/>
            <family val="2"/>
          </rPr>
          <t>Valor do anuênio é de $25,52 anual ( o Valor é aumentado a cada ano).</t>
        </r>
        <r>
          <rPr>
            <sz val="10"/>
            <rFont val="Calibri"/>
            <family val="2"/>
          </rPr>
          <t xml:space="preserve">
• A EMPRESA BIG CARD ENCAMINHA O BOLETO PARA A PROTEGE (IMPRIMIR DEMONSTRATIVO)
• DESCONTAR NA FOLHA DE PGTO 20% SOBRE O VALOR DA RECARGA DO MÊS DE COMPETÊNCIA DA FOLHA VISUALIZAR NO LANÇAMENTO DE CREDITO,CONSULTA DE CREDITO COMPETENCIA.VIZUALIZAR MES QUE IRA FECHAR.
• A RECARGA SERÁ DO MÊS POSTERIOR AO DA COMPETÊCIA DA FOLHA DE PAGAMENTO GERADA.
• FAZER O RECIBO DA ASTRANSP - CNPJ 38652087000154 - SENHA: 38652087 - E ENVIAR JUNTO O HISTORICO DO PEDIDO DO VALE TRANSPORTE, Angelica e Fernanda 2 vales de segunda a sexta.
• SENHA INSS 38652087
• LANÇAR ADD POR TEMPO DE SERVIÇO  A CADA ANO DE TRABALHO. PARA VALOR DE ALIMENTAÇÃO E ANUENIO VERIFICAR CONVENÇÃO ATUALIZADA.</t>
        </r>
        <r>
          <rPr>
            <sz val="10"/>
            <color rgb="FFFF0000"/>
            <rFont val="Calibri"/>
            <family val="2"/>
          </rPr>
          <t>ATENÇÃO:</t>
        </r>
        <r>
          <rPr>
            <sz val="10"/>
            <rFont val="Calibri"/>
            <family val="2"/>
          </rPr>
          <t xml:space="preserve"> LANÇAR NA FOLHA PARTICIPAÇÃO DOS LUCROS 1° PARCELA EM JULHO QUE PAGA NA FOLHA DE AGOSTO NO 5° DIA UTIL E A 2° PARCELA EM SETEMBRO QUE PAGA NA FOLHA DE OUTUBRO.</t>
        </r>
        <r>
          <rPr>
            <sz val="10"/>
            <color rgb="FFFF0000"/>
            <rFont val="Calibri"/>
            <family val="2"/>
          </rPr>
          <t>( pedro henrique esta afastado desde 10/2019 n° do beneficio 200631515</t>
        </r>
      </is>
    </nc>
  </rcc>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B2"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1" xfDxf="1" sqref="B3"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709" sId="1" xfDxf="1" dxf="1">
    <oc r="B4" t="inlineStr">
      <is>
        <t xml:space="preserve">ENGGEOTECH  </t>
      </is>
    </oc>
    <nc r="B4" t="inlineStr">
      <is>
        <t>ENGGEOTECH</t>
      </is>
    </nc>
    <ndxf>
      <font>
        <sz val="10"/>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1710" sId="1" xfDxf="1" dxf="1">
    <oc r="B5" t="inlineStr">
      <is>
        <t xml:space="preserve">VETOR AGROPECUÁRIA                      FEDERAÇÃO BELMIRO BRAGA  - JAN                                 </t>
      </is>
    </oc>
    <nc r="B5" t="inlineStr">
      <is>
        <t>VETOR AGROPECUÁRIA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11" sId="1" xfDxf="1" dxf="1">
    <oc r="B6" t="inlineStr">
      <is>
        <t>ARTWORK COMUNICAÇÃO  **</t>
      </is>
    </oc>
    <nc r="B6" t="inlineStr">
      <is>
        <t>ARTWORK COMUNICAÇÃO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fmt sheetId="1" xfDxf="1" sqref="B2"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1" xfDxf="1" sqref="B2"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712" sId="1" xfDxf="1" dxf="1">
    <oc r="B2" t="inlineStr">
      <is>
        <t xml:space="preserve">PQ TENNIS </t>
      </is>
    </oc>
    <nc r="B2" t="inlineStr">
      <is>
        <t>PQ TENNIS CENTER</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13" sId="1">
    <nc r="D2" t="inlineStr">
      <is>
        <t>10.279.641/0001-80</t>
      </is>
    </nc>
  </rcc>
  <rfmt sheetId="1" sqref="D2" start="0" length="2147483647">
    <dxf>
      <font>
        <sz val="10"/>
      </font>
    </dxf>
  </rfmt>
  <rcc rId="1714" sId="2" xfDxf="1" dxf="1">
    <oc r="B2" t="inlineStr">
      <is>
        <t xml:space="preserve">PQ TENNIS </t>
      </is>
    </oc>
    <nc r="B2" t="inlineStr">
      <is>
        <t>PQ TENNIS CENTER</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15" sId="1" xfDxf="1" dxf="1">
    <oc r="B3" t="inlineStr">
      <is>
        <t>CONSULTE</t>
      </is>
    </oc>
    <nc r="B3" t="inlineStr">
      <is>
        <t>CONSULTE CONSULTORES</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16" sId="2" xfDxf="1" dxf="1">
    <oc r="B3" t="inlineStr">
      <is>
        <t>CONSULTE</t>
      </is>
    </oc>
    <nc r="B3" t="inlineStr">
      <is>
        <t>CONSULTE CONSULTORES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17" sId="2" xfDxf="1" dxf="1">
    <oc r="B4" t="inlineStr">
      <is>
        <t xml:space="preserve">ENGGEOTECH  </t>
      </is>
    </oc>
    <nc r="B4" t="inlineStr">
      <is>
        <t>ENGGEOTECH</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1718" sId="2" xfDxf="1" dxf="1">
    <oc r="B5" t="inlineStr">
      <is>
        <t>VETOR AGROPECUÁRIA **</t>
      </is>
    </oc>
    <nc r="B5" t="inlineStr">
      <is>
        <t>VETOR AGROPECUÁRIA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dn rId="0" localSheetId="2" customView="1" name="Z_EA2840B9_4395_4F38_9C2E_B3C8A78F8E87_.wvu.FilterData" hidden="1" oldHidden="1">
    <formula>Particularidade!$A$1:$D$220</formula>
  </rdn>
  <rdn rId="0" localSheetId="1" customView="1" name="Z_EA2840B9_4395_4F38_9C2E_B3C8A78F8E87_.wvu.FilterData" hidden="1" oldHidden="1">
    <formula>'Controle Empresas'!$A$1:$M$420</formula>
  </rdn>
  <rcv guid="{EA2840B9-4395-4F38-9C2E-B3C8A78F8E87}"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1" sId="2">
    <oc r="C344" t="inlineStr">
      <is>
        <t xml:space="preserve">Tem recarga de vt login - 06392715614   senha 12345 </t>
      </is>
    </oc>
    <nc r="C344" t="inlineStr">
      <is>
        <t>Tem recarga de vt login - 06392715614   senha 12345  TRCT 31/01/2020</t>
      </is>
    </nc>
  </rcc>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2" sId="2">
    <oc r="C98" t="inlineStr">
      <is>
        <t xml:space="preserve">   PIS  SOBRE A FOLHA/ PLANO DE SAÚDE FIXO / SEGURO DE VIDA R$4,28 POR FUNCIONARIO- ENTREGAR ATÉ O DIA 30. Tem quatro Rpas ate acabar o projeto.Tem Issqn quando tiver Rpa.</t>
      </is>
    </oc>
    <nc r="C98" t="inlineStr">
      <is>
        <t xml:space="preserve">   PIS  SOBRE A FOLHA/ PLANO DE SAÚDE FIXO / SEGURO DE VIDA R$4,15 POR FUNCIONARIO- ENTREGAR ATÉ O DIA 30. Tem quatro Rpas ate acabar o projeto.Tem Issqn quando tiver Rpa.</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3" sId="1">
    <oc r="L106" t="inlineStr">
      <is>
        <t xml:space="preserve">Folha e pro labore (   )
INSS (   )      (    ) GUIA IR
GFIP (   )                                                                                                                   </t>
      </is>
    </oc>
    <nc r="L106" t="inlineStr">
      <is>
        <t xml:space="preserve">Folha e pro labore (   )
INSS (   )      (    ) GUIA IR
GFIP (   )     MENSALMENTE PASSA  EMAIL                                                                                                              </t>
      </is>
    </nc>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4" sId="1">
    <oc r="L106" t="inlineStr">
      <is>
        <t xml:space="preserve">Folha e pro labore (   )
INSS (   )      (    ) GUIA IR
GFIP (   )     MENSALMENTE PASSA  EMAIL                                                                                                              </t>
      </is>
    </oc>
    <nc r="L106" t="inlineStr">
      <is>
        <t xml:space="preserve">Folha e pro labore (   )
INSS (   )      (    ) GUIA IR    GFIP (   ) 
MENSALMENTE PASSA  EMAIL (Guilherme)                                                                                                              </t>
      </is>
    </nc>
  </rcc>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5" sId="1">
    <oc r="I273">
      <v>1</v>
    </oc>
    <nc r="I273" t="inlineStr">
      <is>
        <t>PRO-LABORE</t>
      </is>
    </nc>
  </rcc>
  <rcc rId="1726" sId="1">
    <oc r="J273">
      <v>28</v>
    </oc>
    <nc r="J273">
      <v>21</v>
    </nc>
  </rcc>
  <rcc rId="1727" sId="1">
    <oc r="L273" t="inlineStr">
      <is>
        <t xml:space="preserve">(  ) Folha e Pro-labore                                                                                                              (   ) GPS                                                                                                                                   (   ) GFIP             (    ) BOLETO VT                                                                                                                                                                                        </t>
      </is>
    </oc>
    <nc r="L273" t="inlineStr">
      <is>
        <t xml:space="preserve">(  )  Pro-labore      (   ) GPS                                                                                                                                   (   ) GFIP                                                                                                                                                                                                   </t>
      </is>
    </nc>
  </rcc>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8" sId="1">
    <oc r="L290" t="inlineStr">
      <is>
        <t xml:space="preserve">Pro labore (   )
INSS (   )
GFIP (   )   </t>
      </is>
    </oc>
    <nc r="L290" t="inlineStr">
      <is>
        <t xml:space="preserve">Pro labore (   )
INSS (   )  Tem horista
GFIP (   )   </t>
      </is>
    </nc>
  </rcc>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9" sId="1" xfDxf="1" s="1" dxf="1">
    <nc r="D3" t="inlineStr">
      <is>
        <t>20.459855/0001-92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30" sId="1" xfDxf="1" s="1" dxf="1">
    <nc r="D4" t="inlineStr">
      <is>
        <t>04.961.014/0001-22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31" sId="1" xfDxf="1" s="1" dxf="1">
    <nc r="D8" t="inlineStr">
      <is>
        <t>06.057.195/0001-92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32" sId="1" xfDxf="1" dxf="1">
    <oc r="B9" t="inlineStr">
      <is>
        <t>CONSENGEO                                            CONSTRUÇÃO CIVIL/ABRIL                       06.893.915/0001-50</t>
      </is>
    </oc>
    <nc r="B9" t="inlineStr">
      <is>
        <t>CONSENGEO</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cc rId="1733" sId="2" xfDxf="1" dxf="1">
    <oc r="B10" t="inlineStr">
      <is>
        <t>CONSENGEO **</t>
      </is>
    </oc>
    <nc r="B10" t="inlineStr">
      <is>
        <t>CONSENGEO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34" sId="1" xfDxf="1" s="1" dxf="1">
    <nc r="D9" t="inlineStr">
      <is>
        <t>06.893.915/0001-50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35" sId="1" xfDxf="1" dxf="1">
    <oc r="B10" t="inlineStr">
      <is>
        <t xml:space="preserve">ALF PROJETOS  ** </t>
      </is>
    </oc>
    <nc r="B10" t="inlineStr">
      <is>
        <t>ALF CONSULTORIA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36" sId="2" xfDxf="1" dxf="1">
    <nc r="D11" t="inlineStr">
      <is>
        <t>CONSULTAR MOV MENSALMENTE</t>
      </is>
    </nc>
  </rcc>
  <rcc rId="1737" sId="2" xfDxf="1" dxf="1">
    <oc r="B11" t="inlineStr">
      <is>
        <t>ALF PROJETOS  ** (CONSULTAR MOV MENSALMENTE)</t>
      </is>
    </oc>
    <nc r="B11" t="inlineStr">
      <is>
        <t>ALF CONSULTORIA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38" sId="1" xfDxf="1" s="1" dxf="1">
    <nc r="D10" t="inlineStr">
      <is>
        <t>07.110.525/0001-29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39" sId="1" xfDxf="1" dxf="1">
    <oc r="B11" t="inlineStr">
      <is>
        <t xml:space="preserve">EDUORK CONSULTORIA PRESUMIDO </t>
      </is>
    </oc>
    <nc r="B11" t="inlineStr">
      <is>
        <t>EDUWORK CONSULTORIA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40" sId="2" xfDxf="1" dxf="1">
    <oc r="B12" t="inlineStr">
      <is>
        <t>ARTWORK EMPREENDIMENTOS</t>
      </is>
    </oc>
    <nc r="B12" t="inlineStr">
      <is>
        <t>EDUWORK CONSULTORIA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41" sId="1" xfDxf="1" s="1" dxf="1">
    <nc r="D11" t="inlineStr">
      <is>
        <t>07.825.653/0001-59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42" sId="1" xfDxf="1" s="1" dxf="1">
    <nc r="D5" t="inlineStr">
      <is>
        <t>02.881.281/0001-64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43" sId="1" xfDxf="1" s="1" dxf="1">
    <nc r="D6" t="inlineStr">
      <is>
        <t>00.411.807/0001-17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7"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744" sId="2" xfDxf="1" dxf="1">
    <oc r="B8" t="inlineStr">
      <is>
        <t>ARTWORK EMPREENDIMENTOS**</t>
      </is>
    </oc>
    <nc r="B8" t="inlineStr">
      <is>
        <t>ARTWORK EMPREENDIMENTOS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45" sId="1" xfDxf="1" dxf="1">
    <oc r="B12" t="inlineStr">
      <is>
        <t>ALBERTONI</t>
      </is>
    </oc>
    <nc r="B12" t="inlineStr">
      <is>
        <t>ALBERTONI &amp; LIMA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46" sId="2" xfDxf="1" dxf="1">
    <oc r="B13" t="inlineStr">
      <is>
        <t>ALBERTONI</t>
      </is>
    </oc>
    <nc r="B13" t="inlineStr">
      <is>
        <t>ALBERTONI &amp; LIMA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47" sId="1" xfDxf="1" s="1" dxf="1">
    <nc r="D12" t="inlineStr">
      <is>
        <t>03.655.043/0001-01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48" sId="1" xfDxf="1" dxf="1">
    <oc r="B13" t="inlineStr">
      <is>
        <t xml:space="preserve">AAA ARSENIC PRESUMIDO </t>
      </is>
    </oc>
    <nc r="B13" t="inlineStr">
      <is>
        <t>AAA ARSENIC</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49" sId="2" xfDxf="1" dxf="1">
    <oc r="B15" t="inlineStr">
      <is>
        <t>AAA ARSENIC (PLANO SAÚDE)</t>
      </is>
    </oc>
    <nc r="B15" t="inlineStr">
      <is>
        <t>AAA ARSENIC</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50" sId="2">
    <nc r="D15" t="inlineStr">
      <is>
        <t>PLANO SAÚDE</t>
      </is>
    </nc>
  </rcc>
  <rcc rId="1751" sId="1">
    <nc r="F8" t="inlineStr">
      <is>
        <t>Simples</t>
      </is>
    </nc>
  </rcc>
  <rcc rId="1752" sId="1">
    <nc r="F10" t="inlineStr">
      <is>
        <t>Simples</t>
      </is>
    </nc>
  </rcc>
  <rcc rId="1753" sId="1">
    <nc r="F12" t="inlineStr">
      <is>
        <t>Simples</t>
      </is>
    </nc>
  </rcc>
  <rcc rId="1754" sId="1" xfDxf="1" s="1" dxf="1">
    <nc r="D13" t="inlineStr">
      <is>
        <t>09.059.360/0001-33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55" sId="1" xfDxf="1" dxf="1">
    <oc r="B14" t="inlineStr">
      <is>
        <t>UBQ</t>
      </is>
    </oc>
    <nc r="B14" t="inlineStr">
      <is>
        <t>UNIAO BRASILEIRA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56" sId="2" xfDxf="1" dxf="1">
    <oc r="B16" t="inlineStr">
      <is>
        <t>UBQ</t>
      </is>
    </oc>
    <nc r="B16" t="inlineStr">
      <is>
        <t>UNIAO BRASILEIRA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57" sId="1" xfDxf="1" s="1" dxf="1">
    <nc r="D14" t="inlineStr">
      <is>
        <t>02.881.802/0001-83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58" sId="1">
    <nc r="F14" t="inlineStr">
      <is>
        <t>Associação</t>
      </is>
    </nc>
  </rcc>
  <rcc rId="1759" sId="1" xfDxf="1" dxf="1">
    <oc r="B15" t="inlineStr">
      <is>
        <t>NOVUS</t>
      </is>
    </oc>
    <nc r="B15" t="inlineStr">
      <is>
        <t>NOVUS ASSESSORIA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60" sId="2" xfDxf="1" dxf="1">
    <oc r="B17" t="inlineStr">
      <is>
        <t>NOVUS</t>
      </is>
    </oc>
    <nc r="B17" t="inlineStr">
      <is>
        <t>NOVUS ASSESSORIA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61" sId="1" xfDxf="1" s="1" dxf="1">
    <nc r="D15" t="inlineStr">
      <is>
        <t>38.536.678/0001-66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62" sId="1" xfDxf="1" dxf="1">
    <oc r="B16" t="inlineStr">
      <is>
        <t>CASTRO ALVES **</t>
      </is>
    </oc>
    <nc r="B16" t="inlineStr">
      <is>
        <t>CASTRO ALVES</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63" sId="2" xfDxf="1" dxf="1">
    <oc r="B19" t="inlineStr">
      <is>
        <t xml:space="preserve">PRESUMIDO </t>
      </is>
    </oc>
    <nc r="B19" t="inlineStr">
      <is>
        <t>CASTRO ALVES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64" sId="1" xfDxf="1" s="1" dxf="1">
    <nc r="D16" t="inlineStr">
      <is>
        <t>08.574.540/0001-90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E17"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1" xfDxf="1" s="1" sqref="D17"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765" sId="1" xfDxf="1" dxf="1">
    <oc r="B17" t="inlineStr">
      <is>
        <t>VIA BRASIL                                                                              Presumido 08.687.585/0001-71          Data base:  Outubro</t>
      </is>
    </oc>
    <nc r="B17" t="inlineStr">
      <is>
        <t>VIA BRASIL COMERCIO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1766" sId="2" ref="A20:XFD20"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767" sId="2">
    <nc r="A20">
      <v>32</v>
    </nc>
  </rcc>
  <rcc rId="1768" sId="2" xfDxf="1" dxf="1">
    <nc r="B20" t="inlineStr">
      <is>
        <t>VIA BRASIL COMERCIO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69" sId="1" xfDxf="1" s="1" dxf="1">
    <nc r="D17" t="inlineStr">
      <is>
        <t>08.687.585/0001-71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70" sId="1" xfDxf="1" s="1" dxf="1">
    <nc r="D18" t="inlineStr">
      <is>
        <t>08.817.860/0001-24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E19"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771" sId="1" xfDxf="1" s="1" dxf="1">
    <nc r="E18" t="inlineStr">
      <is>
        <t xml:space="preserve">SINTAPPI MG - MAIO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72" sId="1" xfDxf="1" dxf="1">
    <oc r="B18" t="inlineStr">
      <is>
        <t>LIGIA PLOTAGENS                                              SINTAPPI MG - MAIO                     08.817.860/0001-24</t>
      </is>
    </oc>
    <nc r="B18" t="inlineStr">
      <is>
        <t>LIGIA PLOTAGENS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73" sId="2" xfDxf="1" dxf="1">
    <oc r="B21" t="inlineStr">
      <is>
        <t>LIGIA PLOTAGENS **</t>
      </is>
    </oc>
    <nc r="B21" t="inlineStr">
      <is>
        <t>LIGIA PLOTAGENS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19"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774" sId="1" xfDxf="1" s="1" dxf="1">
    <nc r="D19" t="inlineStr">
      <is>
        <t>01.664.117/0001-32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75" sId="1" xfDxf="1" dxf="1">
    <oc r="B20" t="inlineStr">
      <is>
        <t>GUEDES E ALVES</t>
      </is>
    </oc>
    <nc r="B20" t="inlineStr">
      <is>
        <t>GUEDES E ALVES LTDA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76" sId="2" xfDxf="1" dxf="1">
    <oc r="B25" t="inlineStr">
      <is>
        <t>GUEDES E ALVES **</t>
      </is>
    </oc>
    <nc r="B25" t="inlineStr">
      <is>
        <t>GUEDES E ALVES LTDA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77" sId="1" xfDxf="1" s="1" dxf="1">
    <nc r="D20" t="inlineStr">
      <is>
        <t>86.496.460/0001-78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78" sId="1">
    <nc r="F20" t="inlineStr">
      <is>
        <t>Simples</t>
      </is>
    </nc>
  </rcc>
  <rcc rId="1779" sId="1" xfDxf="1" dxf="1">
    <oc r="B21" t="inlineStr">
      <is>
        <t>TOKSUTILL</t>
      </is>
    </oc>
    <nc r="B21" t="inlineStr">
      <is>
        <t>TOKSUTILL CONFECCOES</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1780" sId="2" xfDxf="1" dxf="1">
    <oc r="B27" t="inlineStr">
      <is>
        <t>TOKSUTILL **</t>
      </is>
    </oc>
    <nc r="B27" t="inlineStr">
      <is>
        <t>TOKSUTILL CONFECCOES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81" sId="1" xfDxf="1" s="1" dxf="1">
    <nc r="D21" t="inlineStr">
      <is>
        <t>10.016.223/0001-09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82" sId="1">
    <nc r="F21" t="inlineStr">
      <is>
        <t>Presumido</t>
      </is>
    </nc>
  </rcc>
  <rcc rId="1783" sId="1" xfDxf="1" dxf="1">
    <oc r="B22" t="inlineStr">
      <is>
        <t xml:space="preserve">AGER                          </t>
      </is>
    </oc>
    <nc r="B22" t="inlineStr">
      <is>
        <t>AGER CONSULTORIA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1784" sId="2" ref="A29:XFD29"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785" sId="2">
    <nc r="A29">
      <v>46</v>
    </nc>
  </rcc>
  <rcc rId="1786" sId="2" xfDxf="1" dxf="1">
    <nc r="B29" t="inlineStr">
      <is>
        <t>AGER CONSULTORIA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87" sId="1" xfDxf="1" s="1" dxf="1">
    <nc r="D22" t="inlineStr">
      <is>
        <t>10.429.971/0001-05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88" sId="1">
    <nc r="F22" t="inlineStr">
      <is>
        <t>Simples</t>
      </is>
    </nc>
  </rcc>
  <rcc rId="1789" sId="1" xfDxf="1" s="1" dxf="1">
    <nc r="D23" t="inlineStr">
      <is>
        <t>10.509.787/0001-75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90" sId="1" xfDxf="1" s="1" dxf="1">
    <nc r="E23" t="inlineStr">
      <is>
        <t xml:space="preserve"> sind: metalurgicos data base: 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91" sId="1" xfDxf="1" dxf="1">
    <oc r="B23" t="inlineStr">
      <is>
        <t>GLAUCAR ** sind: metalurgicos data base: Setembro  CNPJ: 10.509.787/0001-75</t>
      </is>
    </oc>
    <nc r="B23" t="inlineStr">
      <is>
        <t>GLAUCAR AUTOMOTIVOS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792" sId="2" xfDxf="1" dxf="1">
    <oc r="B30" t="inlineStr">
      <is>
        <t>GLAUCAR **</t>
      </is>
    </oc>
    <nc r="B30" t="inlineStr">
      <is>
        <t>GLAUCAR AUTOMOTIVOS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93" sId="1" xfDxf="1" dxf="1">
    <oc r="B24" t="inlineStr">
      <is>
        <t>MOHENY - SP</t>
      </is>
    </oc>
    <nc r="B24" t="inlineStr">
      <is>
        <t>MOHENY CONSULTORIA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794" sId="2" ref="A31:XFD31"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795" sId="2">
    <nc r="A31">
      <v>49</v>
    </nc>
  </rcc>
  <rcc rId="1796" sId="2" xfDxf="1" dxf="1">
    <nc r="B31" t="inlineStr">
      <is>
        <t>MOHENY CONSULTORIA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797" sId="1" xfDxf="1" s="1" dxf="1">
    <nc r="D24" t="inlineStr">
      <is>
        <t>04.044.209/0001-08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798" sId="1">
    <nc r="F24" t="inlineStr">
      <is>
        <t>Presumido</t>
      </is>
    </nc>
  </rcc>
  <rcc rId="1799" sId="1" xfDxf="1" s="1" dxf="1">
    <nc r="D25" t="inlineStr">
      <is>
        <t>09.313.452/0001-06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00" sId="1" xfDxf="1" dxf="1">
    <oc r="B25" t="inlineStr">
      <is>
        <t>LUCIANO RIBEIRO</t>
      </is>
    </oc>
    <nc r="B25" t="inlineStr">
      <is>
        <t>LUCIANO DE ASSUNÇÃO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1801" sId="2" ref="A32:XFD3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02" sId="2">
    <nc r="A32">
      <v>51</v>
    </nc>
  </rcc>
  <rcc rId="1803" sId="2" xfDxf="1" dxf="1">
    <nc r="B32" t="inlineStr">
      <is>
        <t>LUCIANO DE ASSUNÇÃO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04" sId="1">
    <nc r="F25" t="inlineStr">
      <is>
        <t>Presumido</t>
      </is>
    </nc>
  </rcc>
  <rcc rId="1805" sId="2" xfDxf="1" dxf="1">
    <nc r="D33" t="inlineStr">
      <is>
        <t>NÃO ENVIAR PRO LABORE</t>
      </is>
    </nc>
  </rcc>
  <rcc rId="1806" sId="2" xfDxf="1" dxf="1">
    <oc r="B33" t="inlineStr">
      <is>
        <t>CAMILA MASINI (NÃO ENVIAR PRO LABORE)</t>
      </is>
    </oc>
    <nc r="B33" t="inlineStr">
      <is>
        <t>CAMILA MASINI</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07" sId="1" xfDxf="1" dxf="1">
    <oc r="B26" t="inlineStr">
      <is>
        <t xml:space="preserve">CAMILA MASINI </t>
      </is>
    </oc>
    <nc r="B26" t="inlineStr">
      <is>
        <t>CAMILA MASINI</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08" sId="1" xfDxf="1" s="1" dxf="1">
    <nc r="D26" t="inlineStr">
      <is>
        <t>10.464.752/0001-67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09" sId="1">
    <nc r="F26" t="inlineStr">
      <is>
        <t>Simples</t>
      </is>
    </nc>
  </rcc>
  <rcc rId="1810" sId="1" xfDxf="1" dxf="1">
    <oc r="B27" t="inlineStr">
      <is>
        <t>DIGITECH – RAFAEL **</t>
      </is>
    </oc>
    <nc r="B27" t="inlineStr">
      <is>
        <t>RAFAEL CERQUEIRA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1811" sId="2" ref="A34:XFD3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12" sId="2">
    <nc r="A34">
      <v>53</v>
    </nc>
  </rcc>
  <rcc rId="1813" sId="2" xfDxf="1" dxf="1">
    <nc r="B34" t="inlineStr">
      <is>
        <t>RAFAEL CERQUEIRA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14" sId="1" xfDxf="1" s="1" dxf="1">
    <nc r="D27" t="inlineStr">
      <is>
        <t>04.043.737/0001-42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15" sId="1">
    <nc r="F27" t="inlineStr">
      <is>
        <t>Simples</t>
      </is>
    </nc>
  </rcc>
  <rcc rId="1816" sId="1" xfDxf="1" s="1" dxf="1">
    <nc r="E28" t="inlineStr">
      <is>
        <t>sind: comércio 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17" sId="1" xfDxf="1" s="1" dxf="1">
    <nc r="D28" t="inlineStr">
      <is>
        <t>21.104.245/0001-39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18" sId="1" xfDxf="1" dxf="1">
    <oc r="B28" t="inlineStr">
      <is>
        <t>IRAN MATRIZ   ** sind: comércio data base: outubro  CNPJ:21.104.245/0001-39</t>
      </is>
    </oc>
    <nc r="B28" t="inlineStr">
      <is>
        <t>IRAN MATRIZ</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19" sId="2" xfDxf="1" dxf="1">
    <oc r="B35" t="inlineStr">
      <is>
        <t>IRAN MATRIZ   **</t>
      </is>
    </oc>
    <nc r="B35" t="inlineStr">
      <is>
        <t>IRAN MATRIZ</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20" sId="1" xfDxf="1" s="1" dxf="1">
    <nc r="D29" t="inlineStr">
      <is>
        <t>06.273.925/0001-92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21" sId="1">
    <nc r="F29" t="inlineStr">
      <is>
        <t>Presumido</t>
      </is>
    </nc>
  </rcc>
  <rcc rId="1822" sId="1" xfDxf="1" dxf="1">
    <oc r="B29" t="inlineStr">
      <is>
        <t xml:space="preserve">ATHOS REPRESENTAÇÕES PRESUMIDO </t>
      </is>
    </oc>
    <nc r="B29" t="inlineStr">
      <is>
        <t>ATHOS REPRESENTAÇÕES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23" sId="1" xfDxf="1" dxf="1">
    <oc r="B30" t="inlineStr">
      <is>
        <t>SL RODRIGUES</t>
      </is>
    </oc>
    <nc r="B30" t="inlineStr">
      <is>
        <t>SL RODRIGUES RIBEIRO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24" sId="2" xfDxf="1" dxf="1">
    <oc r="B37" t="inlineStr">
      <is>
        <t>SL RODRIGUES</t>
      </is>
    </oc>
    <nc r="B37" t="inlineStr">
      <is>
        <t>SL RODRIGUES RIBEIRO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25" sId="1" xfDxf="1" s="1" dxf="1">
    <nc r="D30" t="inlineStr">
      <is>
        <t>25.154.766/0001-51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26" sId="1">
    <nc r="F30" t="inlineStr">
      <is>
        <t>Simples</t>
      </is>
    </nc>
  </rcc>
  <rfmt sheetId="1" xfDxf="1" sqref="B31"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827" sId="1" xfDxf="1" s="1" dxf="1">
    <nc r="D31" t="inlineStr">
      <is>
        <t>10.742.837/0001-60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28" sId="1" xfDxf="1" s="1" dxf="1">
    <nc r="D32" t="inlineStr">
      <is>
        <t>10.795.073/0001-70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E32"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829" sId="1">
    <nc r="E32" t="inlineStr">
      <is>
        <t>SINDICATO DA SAÚDE -  Data base: MAIO</t>
      </is>
    </nc>
  </rcc>
  <rcc rId="1830" sId="1" xfDxf="1" dxf="1">
    <oc r="B32" t="inlineStr">
      <is>
        <t xml:space="preserve">CLÍNICA NÚCLEO                                                SINDICATO DA SAÚDE -      10.795.073/0001-70            Data base: MAIO                                                                                                                       </t>
      </is>
    </oc>
    <nc r="B32" t="inlineStr">
      <is>
        <t>CLINICA NUCLEO MT</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31" sId="2" xfDxf="1" dxf="1">
    <oc r="B40" t="inlineStr">
      <is>
        <t>CLINICA NUCLEO</t>
      </is>
    </oc>
    <nc r="B40" t="inlineStr">
      <is>
        <t>CLINICA NUCLEO MT</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32" sId="1">
    <nc r="F32" t="inlineStr">
      <is>
        <t>Simples</t>
      </is>
    </nc>
  </rcc>
  <rcc rId="1833" sId="1">
    <nc r="F33" t="inlineStr">
      <is>
        <t>Presumido</t>
      </is>
    </nc>
  </rcc>
  <rcc rId="1834" sId="1" xfDxf="1" dxf="1">
    <oc r="B33" t="inlineStr">
      <is>
        <t xml:space="preserve">EW REPRESENTAÇÕES LTDA PRESUMIDO </t>
      </is>
    </oc>
    <nc r="B33" t="inlineStr">
      <is>
        <t>EDUARDO WERNECK</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35" sId="1" xfDxf="1" s="1" dxf="1">
    <nc r="D33" t="inlineStr">
      <is>
        <t>10.800.306/0001-86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36" sId="1" xfDxf="1" dxf="1">
    <oc r="B34" t="inlineStr">
      <is>
        <t>EDUWORK EMPREENDIMENTOS</t>
      </is>
    </oc>
    <nc r="B34" t="inlineStr">
      <is>
        <t>EDUWORK</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37" sId="1">
    <nc r="F34" t="inlineStr">
      <is>
        <t>Simples</t>
      </is>
    </nc>
  </rcc>
  <rcc rId="1838" sId="2" xfDxf="1" dxf="1">
    <oc r="B43" t="inlineStr">
      <is>
        <t>EDUWORK EMPREENDIMENTOS</t>
      </is>
    </oc>
    <nc r="B43" t="inlineStr">
      <is>
        <t>EDUWORK</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39" sId="1" xfDxf="1" s="1" dxf="1">
    <nc r="D34" t="inlineStr">
      <is>
        <t>10.727.200/0001-02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40" sId="1" xfDxf="1" s="1" dxf="1">
    <nc r="D35" t="inlineStr">
      <is>
        <t>10.831.970/0001-92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41" sId="1" xfDxf="1" dxf="1">
    <oc r="B35" t="inlineStr">
      <is>
        <t>Leis Bar</t>
      </is>
    </oc>
    <nc r="B35" t="inlineStr">
      <is>
        <t>LEIS DE OLIVEIRA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1842" sId="1">
    <nc r="F35" t="inlineStr">
      <is>
        <t>Simples</t>
      </is>
    </nc>
  </rcc>
  <rrc rId="1843" sId="2" ref="A46:XFD46"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44" sId="2">
    <nc r="A46">
      <v>78</v>
    </nc>
  </rcc>
  <rcc rId="1845" sId="2" xfDxf="1" dxf="1">
    <nc r="B46" t="inlineStr">
      <is>
        <t>LEIS DE OLIVEIRA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46" sId="1" xfDxf="1" s="1" dxf="1">
    <nc r="D36" t="inlineStr">
      <is>
        <t>10.444.526/0001-14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47" sId="1" xfDxf="1" dxf="1">
    <oc r="B36" t="inlineStr">
      <is>
        <t>MULTIRÃO MENINADA VALE VERDE</t>
      </is>
    </oc>
    <nc r="B36" t="inlineStr">
      <is>
        <t>MUTIRAO DA MENINADA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1848" sId="1">
    <nc r="F36" t="inlineStr">
      <is>
        <t>Associação</t>
      </is>
    </nc>
  </rcc>
  <rrc rId="1849" sId="2" ref="A47:XFD4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50" sId="2">
    <nc r="A47">
      <v>79</v>
    </nc>
  </rcc>
  <rcc rId="1851" sId="2" xfDxf="1" dxf="1">
    <nc r="B47" t="inlineStr">
      <is>
        <t>MUTIRAO DA MENINADA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1" sqref="D37"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1" sqref="D37" start="0" length="2147483647">
    <dxf>
      <font>
        <sz val="11"/>
      </font>
    </dxf>
  </rfmt>
  <rfmt sheetId="1" xfDxf="1" s="1" sqref="E37"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1" xfDxf="1" s="1" sqref="D37" start="0" length="0">
    <dxf>
      <font>
        <b val="0"/>
        <i val="0"/>
        <strike val="0"/>
        <condense val="0"/>
        <extend val="0"/>
        <outline val="0"/>
        <shadow val="0"/>
        <u/>
        <vertAlign val="baseline"/>
        <sz val="11"/>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852" sId="1">
    <nc r="D37" t="inlineStr">
      <is>
        <t>CEI 426400167609</t>
      </is>
    </nc>
  </rcc>
  <rcc rId="1853" sId="1" xfDxf="1" s="1" dxf="1">
    <nc r="E37" t="inlineStr">
      <is>
        <t>SINDICATO DA SAÚDE - 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54" sId="1" xfDxf="1" dxf="1">
    <oc r="B37" t="inlineStr">
      <is>
        <t xml:space="preserve">DR. ALDO                                                                SINDICATO DA SAÚDE - CEI 426400167609            Data base: MAIO                                                                                                                       </t>
      </is>
    </oc>
    <nc r="B37" t="inlineStr">
      <is>
        <t>ALDO DE ALCANTARA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55" sId="2" xfDxf="1" dxf="1">
    <oc r="B48" t="inlineStr">
      <is>
        <t>DR. ALDO</t>
      </is>
    </oc>
    <nc r="B48" t="inlineStr">
      <is>
        <t>ALDO DE ALCANTARA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56" sId="1" xfDxf="1" s="1" dxf="1">
    <nc r="D38" t="inlineStr">
      <is>
        <t>CEI 500136162303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E38"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857" sId="1">
    <nc r="E38" t="inlineStr">
      <is>
        <t xml:space="preserve">SINDICATO DA SAÚDE -  Data base: MAIO </t>
      </is>
    </nc>
  </rcc>
  <rfmt sheetId="1" xfDxf="1" sqref="B38"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858" sId="1" xfDxf="1" dxf="1">
    <oc r="B38" t="inlineStr">
      <is>
        <t xml:space="preserve">DRA. ELISABETH                                                  SINDICATO DA SAÚDE - CEI 500136162303           Data base: MAIO                                                                                                                 </t>
      </is>
    </oc>
    <nc r="B38" t="inlineStr">
      <is>
        <t>ELISABETH MENDONÇA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59" sId="2" xfDxf="1" dxf="1">
    <oc r="B52" t="inlineStr">
      <is>
        <t>DRA. ELISABETH</t>
      </is>
    </oc>
    <nc r="B52" t="inlineStr">
      <is>
        <t>ELISABETH MENDONÇA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60" sId="1" xfDxf="1" s="1" dxf="1">
    <nc r="D39" t="inlineStr">
      <is>
        <t xml:space="preserve">CEI 113671636701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E39"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861" sId="1">
    <oc r="E39" t="inlineStr">
      <is>
        <t>S</t>
      </is>
    </oc>
    <nc r="E39" t="inlineStr">
      <is>
        <t xml:space="preserve"> SINDICATO DA SÁUDE -  Data base: MAIO</t>
      </is>
    </nc>
  </rcc>
  <rcc rId="1862" sId="1" xfDxf="1" dxf="1">
    <oc r="B39" t="inlineStr">
      <is>
        <t xml:space="preserve">DRA.LÚCIA PIUMA                                             SINDICATO DA SÁUDE - CEI 113671636701           Data base: MAIO                                                                                                                 </t>
      </is>
    </oc>
    <nc r="B39" t="inlineStr">
      <is>
        <t>LUCIA DE ARAUJO CEI</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63" sId="2" xfDxf="1" dxf="1">
    <oc r="B53" t="inlineStr">
      <is>
        <t>DRA. LÚCIA PIÚMA</t>
      </is>
    </oc>
    <nc r="B53" t="inlineStr">
      <is>
        <t>LUCIA DE ARAUJO CEI</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64" sId="1" xfDxf="1" dxf="1">
    <oc r="B40" t="inlineStr">
      <is>
        <t>DRA. ONEIDA  sind:Saude  Data base: maio</t>
      </is>
    </oc>
    <nc r="B40" t="inlineStr">
      <is>
        <t>ONEIDA - CONSULTÓRIO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65" sId="1">
    <nc r="E40" t="inlineStr">
      <is>
        <t xml:space="preserve"> SINDICATO DA SÁUDE -  Data base: MAIO</t>
      </is>
    </nc>
  </rcc>
  <rcc rId="1866" sId="1">
    <nc r="D40" t="inlineStr">
      <is>
        <t>CEI 113671143106</t>
      </is>
    </nc>
  </rcc>
  <rcc rId="1867" sId="1">
    <nc r="F40" t="inlineStr">
      <is>
        <t>CEI</t>
      </is>
    </nc>
  </rcc>
  <rcc rId="1868" sId="2" xfDxf="1" dxf="1">
    <oc r="B54" t="inlineStr">
      <is>
        <t>DRA. ONEIDA</t>
      </is>
    </oc>
    <nc r="B54" t="inlineStr">
      <is>
        <t>ONEIDA - CONSULTÓRIO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41"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869" sId="1" xfDxf="1" s="1" dxf="1">
    <nc r="D41" t="inlineStr">
      <is>
        <t>09.143.618/0001-85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70" sId="1">
    <nc r="F41" t="inlineStr">
      <is>
        <t>Presumido</t>
      </is>
    </nc>
  </rcc>
  <rcc rId="1871" sId="1" xfDxf="1" s="1" dxf="1">
    <nc r="D42" t="inlineStr">
      <is>
        <t>05.892.155/0001-01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72" sId="1">
    <nc r="F42" t="inlineStr">
      <is>
        <t>Simples</t>
      </is>
    </nc>
  </rcc>
  <rcc rId="1873" sId="1" xfDxf="1" dxf="1">
    <oc r="B42" t="inlineStr">
      <is>
        <t>Henaut</t>
      </is>
    </oc>
    <nc r="B42" t="inlineStr">
      <is>
        <t>HENAUT E FILHOS MAT</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874" sId="2" ref="A58:XFD58"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75" sId="2">
    <nc r="A58">
      <v>99</v>
    </nc>
  </rcc>
  <rcc rId="1876" sId="2" xfDxf="1" dxf="1">
    <nc r="B58" t="inlineStr">
      <is>
        <t>HENAUT E FILHOS MAT</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77" sId="1" xfDxf="1" s="1" dxf="1">
    <nc r="D43" t="inlineStr">
      <is>
        <t>09.149.494/0001-45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78" sId="1">
    <nc r="F43" t="inlineStr">
      <is>
        <t>Simples</t>
      </is>
    </nc>
  </rcc>
  <rcc rId="1879" sId="1" xfDxf="1" dxf="1">
    <oc r="B43" t="inlineStr">
      <is>
        <t>Stasera</t>
      </is>
    </oc>
    <nc r="B43" t="inlineStr">
      <is>
        <t>STASERA RESTAURANTE</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880" sId="2" ref="A59:XFD59"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81" sId="2">
    <nc r="A59">
      <v>102</v>
    </nc>
  </rcc>
  <rcc rId="1882" sId="2" xfDxf="1" dxf="1">
    <nc r="B59" t="inlineStr">
      <is>
        <t>STASERA RESTAURANTE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44"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883" sId="1">
    <nc r="F44" t="inlineStr">
      <is>
        <t>Presumido</t>
      </is>
    </nc>
  </rcc>
  <rcc rId="1884" sId="1" xfDxf="1" s="1" dxf="1">
    <nc r="D44" t="inlineStr">
      <is>
        <t>09.567.993/0001-52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85" sId="1" xfDxf="1" s="1" dxf="1">
    <nc r="D45" t="inlineStr">
      <is>
        <t>07.707.353/0001-75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86" sId="1">
    <nc r="F45" t="inlineStr">
      <is>
        <t>Simples</t>
      </is>
    </nc>
  </rcc>
  <rcc rId="1887" sId="1" xfDxf="1" dxf="1">
    <oc r="B45" t="inlineStr">
      <is>
        <t>ZRS SERVIÇOS DE MANUTENCAO</t>
      </is>
    </oc>
    <nc r="B45" t="inlineStr">
      <is>
        <t>ZRS SERVICOS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88" sId="2" xfDxf="1" dxf="1">
    <oc r="B61" t="inlineStr">
      <is>
        <t>ZRS SERVIÇOS DE MANUTENCAO</t>
      </is>
    </oc>
    <nc r="B61" t="inlineStr">
      <is>
        <t>ZRS SERVICOS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89" sId="1" xfDxf="1" dxf="1">
    <oc r="B46" t="inlineStr">
      <is>
        <t>MARQUES E ADVOGADOS</t>
      </is>
    </oc>
    <nc r="B46" t="inlineStr">
      <is>
        <t>MARQUES &amp; ADVOGADOS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90" sId="1">
    <nc r="F46" t="inlineStr">
      <is>
        <t>Simples</t>
      </is>
    </nc>
  </rcc>
  <rrc rId="1891" sId="2" ref="A62:XFD6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892" sId="2">
    <nc r="A62">
      <v>111</v>
    </nc>
  </rcc>
  <rcc rId="1893" sId="2" xfDxf="1" dxf="1">
    <nc r="B62" t="inlineStr">
      <is>
        <t>MARQUES &amp; ADVOGADOS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94" sId="1" xfDxf="1" s="1" dxf="1">
    <nc r="D46" t="inlineStr">
      <is>
        <t>09.361.457/0001-04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95" sId="1" xfDxf="1" s="1" dxf="1">
    <nc r="D47" t="inlineStr">
      <is>
        <t xml:space="preserve">CEI 335200025188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896" sId="1">
    <nc r="F47" t="inlineStr">
      <is>
        <t>CEI</t>
      </is>
    </nc>
  </rcc>
  <rfmt sheetId="1" xfDxf="1" sqref="B47"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897" sId="1" xfDxf="1" dxf="1">
    <oc r="B47" t="inlineStr">
      <is>
        <t xml:space="preserve">DRA. ONEIDA SÍTIO                     CEI 335200025188                                Data base: MAIO                                                                                                                 </t>
      </is>
    </oc>
    <nc r="B47" t="inlineStr">
      <is>
        <t>ONEIDA - SÍTIO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898" sId="2" xfDxf="1" dxf="1">
    <oc r="B63" t="inlineStr">
      <is>
        <t>Oneida Sítio</t>
      </is>
    </oc>
    <nc r="B63" t="inlineStr">
      <is>
        <t>ONEIDA - SÍTIO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899" sId="1" xfDxf="1" s="1" dxf="1">
    <nc r="D48" t="inlineStr">
      <is>
        <t xml:space="preserve"> 10.717.991/0001-81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00" sId="1" xfDxf="1" s="1" dxf="1">
    <nc r="E48" t="inlineStr">
      <is>
        <t>SINDICATO DA SAÚDE -   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01" sId="1" xfDxf="1" dxf="1">
    <oc r="B48" t="inlineStr">
      <is>
        <t xml:space="preserve">CLINICAR                                                                SINDICATO DA SAÚDE -            10.717.991/0001-81                        Data base: MAIO                                                                                                                                     </t>
      </is>
    </oc>
    <nc r="B48" t="inlineStr">
      <is>
        <t>CLINICAR - CLINICA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02" sId="2" xfDxf="1" dxf="1">
    <oc r="B68" t="inlineStr">
      <is>
        <t>CLINICAR</t>
      </is>
    </oc>
    <nc r="B68" t="inlineStr">
      <is>
        <t>CLINICAR - CLINICA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903" sId="1">
    <nc r="F48" t="inlineStr">
      <is>
        <t>Simples</t>
      </is>
    </nc>
  </rcc>
  <rcc rId="1904" sId="1">
    <nc r="F49" t="inlineStr">
      <is>
        <t>Simples</t>
      </is>
    </nc>
  </rcc>
  <rfmt sheetId="1" xfDxf="1" sqref="B49"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905" sId="1" xfDxf="1" dxf="1">
    <oc r="B49" t="inlineStr">
      <is>
        <t>ENGEOTECH EMPR.</t>
      </is>
    </oc>
    <nc r="B49" t="inlineStr">
      <is>
        <t>ENGEOTECH EMPREENDIMENTOS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06" sId="2" xfDxf="1" dxf="1">
    <nc r="D70" t="inlineStr">
      <is>
        <t>Verificar Mensalmente se tem movimento</t>
      </is>
    </nc>
  </rcc>
  <rcc rId="1907" sId="2" odxf="1" dxf="1">
    <oc r="B70" t="inlineStr">
      <is>
        <t>ENGEOTECH EMPR. (Verificar Mensalmente se tem movimento)</t>
      </is>
    </oc>
    <nc r="B70" t="inlineStr">
      <is>
        <t>ENGEOTECH EMPREENDIMENTOS</t>
      </is>
    </nc>
    <ndxf>
      <font>
        <sz val="9"/>
        <color auto="1"/>
        <name val="Arial"/>
        <scheme val="none"/>
      </font>
      <fill>
        <patternFill patternType="solid">
          <bgColor theme="0"/>
        </patternFill>
      </fill>
    </ndxf>
  </rcc>
  <rcc rId="1908" sId="1" xfDxf="1" s="1" dxf="1">
    <nc r="D49" t="inlineStr">
      <is>
        <t>11.444.514/0001-52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09" sId="1" xfDxf="1" dxf="1">
    <oc r="B50" t="inlineStr">
      <is>
        <t>ASS PRO-MELHORAMENTOS DOS BAIRROS VINA DEL MAR E S-DCTF INATIVA</t>
      </is>
    </oc>
    <nc r="B50" t="inlineStr">
      <is>
        <t>ASS VINA DEL MAR</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10" sId="1">
    <nc r="F50" t="inlineStr">
      <is>
        <t>Associação</t>
      </is>
    </nc>
  </rcc>
  <rcc rId="1911" sId="1" xfDxf="1" s="1" dxf="1">
    <nc r="D50" t="inlineStr">
      <is>
        <t>10.713.846/0001-22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1912" sId="2" ref="A71:XFD71"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13" sId="2">
    <nc r="A71">
      <v>127</v>
    </nc>
  </rcc>
  <rcc rId="1914" sId="2" odxf="1" dxf="1">
    <nc r="B71" t="inlineStr">
      <is>
        <t>ASS VINA DEL MAR</t>
      </is>
    </nc>
    <odxf>
      <font>
        <sz val="9"/>
        <color auto="1"/>
        <name val="Arial"/>
        <scheme val="none"/>
      </font>
    </odxf>
    <ndxf>
      <font>
        <sz val="8"/>
        <color auto="1"/>
        <name val="Arial"/>
        <scheme val="none"/>
      </font>
    </ndxf>
  </rcc>
  <rcc rId="1915" sId="1" xfDxf="1" dxf="1">
    <oc r="B51" t="inlineStr">
      <is>
        <t>Meninos Cantores</t>
      </is>
    </oc>
    <nc r="B51" t="inlineStr">
      <is>
        <t>ASSOCIACAO DE AMIGOS</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916" sId="2" ref="A72:XFD7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17" sId="2">
    <nc r="A72">
      <v>140</v>
    </nc>
  </rcc>
  <rcc rId="1918" sId="2" xfDxf="1" dxf="1">
    <nc r="B72" t="inlineStr">
      <is>
        <t>ASSOCIACAO DE AMIGOS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19" sId="1" xfDxf="1" s="1" dxf="1">
    <nc r="D51" t="inlineStr">
      <is>
        <t>21.178.934/0001-98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20" sId="1">
    <nc r="F51" t="inlineStr">
      <is>
        <t>Associação</t>
      </is>
    </nc>
  </rcc>
  <rfmt sheetId="1" xfDxf="1" sqref="B52" start="0" length="0">
    <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dxf>
  </rfmt>
  <rcc rId="1921" sId="1">
    <nc r="F52" t="inlineStr">
      <is>
        <t>Presumido</t>
      </is>
    </nc>
  </rcc>
  <rcc rId="1922" sId="1" xfDxf="1" dxf="1">
    <oc r="B52" t="inlineStr">
      <is>
        <t xml:space="preserve">Paulo Sitio </t>
      </is>
    </oc>
    <nc r="B52" t="inlineStr">
      <is>
        <t>PAULO EMILIO DOS SANTOS QUEIROZ</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923" sId="2" ref="A73:XFD73"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24" sId="2">
    <nc r="A73">
      <v>144</v>
    </nc>
  </rcc>
  <rcc rId="1925" sId="2" xfDxf="1" dxf="1">
    <nc r="B73" t="inlineStr">
      <is>
        <t>PAULO EMILIO DOS SANTOS QUEIROZ</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26" sId="1" xfDxf="1" s="1" dxf="1">
    <nc r="D52" t="inlineStr">
      <is>
        <t>01.604.730/0001-64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27" sId="1" xfDxf="1" s="1" dxf="1">
    <nc r="D53" t="inlineStr">
      <is>
        <t>01.253.585/0001-14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28" sId="1">
    <nc r="F53" t="inlineStr">
      <is>
        <t>Presumido</t>
      </is>
    </nc>
  </rcc>
  <rcc rId="1929" sId="1" xfDxf="1" dxf="1">
    <oc r="B53" t="inlineStr">
      <is>
        <t>RGS ENGENHAIRA</t>
      </is>
    </oc>
    <nc r="B53" t="inlineStr">
      <is>
        <t>RGS ENGENHARIA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930" sId="2" ref="A74:XFD7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31" sId="2">
    <nc r="A74">
      <v>146</v>
    </nc>
  </rcc>
  <rcc rId="1932" sId="2" xfDxf="1" dxf="1">
    <nc r="B74" t="inlineStr">
      <is>
        <t>RGS ENGENHARIA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33" sId="1" xfDxf="1" s="1" dxf="1">
    <nc r="D54" t="inlineStr">
      <is>
        <t>03.707.784/0001-80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34" sId="1">
    <nc r="F54" t="inlineStr">
      <is>
        <t>Presumido</t>
      </is>
    </nc>
  </rcc>
  <rfmt sheetId="1" xfDxf="1" sqref="B54" start="0" length="0">
    <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dxf>
  </rfmt>
  <rrc rId="1935" sId="2" ref="A75:XFD7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36" sId="2">
    <nc r="A75">
      <v>147</v>
    </nc>
  </rcc>
  <rcc rId="1937" sId="2" xfDxf="1" dxf="1">
    <nc r="B75" t="inlineStr">
      <is>
        <t>RITA DE CASSIA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38" sId="1">
    <nc r="F55" t="inlineStr">
      <is>
        <t>Presumido</t>
      </is>
    </nc>
  </rcc>
  <rcc rId="1939" sId="1" xfDxf="1" dxf="1">
    <oc r="B55" t="inlineStr">
      <is>
        <t xml:space="preserve">PEPE </t>
      </is>
    </oc>
    <nc r="B55" t="inlineStr">
      <is>
        <t>PEPE SOFTWARE LTDA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40" sId="1" xfDxf="1" s="1" dxf="1">
    <nc r="D55" t="inlineStr">
      <is>
        <t>39.419.841/0001-73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41" sId="2" odxf="1" dxf="1">
    <oc r="B76" t="inlineStr">
      <is>
        <t xml:space="preserve">PEPE </t>
      </is>
    </oc>
    <nc r="B76" t="inlineStr">
      <is>
        <t>PEPE SOFTWARE LTDA</t>
      </is>
    </nc>
    <odxf>
      <font>
        <sz val="10"/>
        <color auto="1"/>
      </font>
      <fill>
        <patternFill patternType="none">
          <bgColor indexed="65"/>
        </patternFill>
      </fill>
    </odxf>
    <ndxf>
      <font>
        <sz val="8"/>
        <color auto="1"/>
        <name val="Arial"/>
        <scheme val="none"/>
      </font>
      <fill>
        <patternFill patternType="solid">
          <bgColor theme="0"/>
        </patternFill>
      </fill>
    </ndxf>
  </rcc>
  <rcc rId="1942" sId="1" xfDxf="1" s="1" dxf="1">
    <nc r="D56" t="inlineStr">
      <is>
        <t>25.386.954/0001-05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43" sId="1">
    <nc r="F56" t="inlineStr">
      <is>
        <t>Presumido</t>
      </is>
    </nc>
  </rcc>
  <rcc rId="1944" sId="1" xfDxf="1" dxf="1">
    <oc r="B56" t="inlineStr">
      <is>
        <t>DOMINGOS - ADV</t>
      </is>
    </oc>
    <nc r="B56" t="inlineStr">
      <is>
        <t>DOMINGOS SAVIO</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1945" sId="2" ref="A78:XFD78"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46" sId="2">
    <nc r="A78">
      <v>163</v>
    </nc>
  </rcc>
  <rcc rId="1947" sId="2" xfDxf="1" dxf="1">
    <nc r="B78" t="inlineStr">
      <is>
        <t>DOMINGOS SAVIO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948" sId="1">
    <nc r="F57" t="inlineStr">
      <is>
        <t>Simples</t>
      </is>
    </nc>
  </rcc>
  <rcc rId="1949" sId="1" xfDxf="1" dxf="1">
    <oc r="B57" t="inlineStr">
      <is>
        <t>COPAS</t>
      </is>
    </oc>
    <nc r="B57" t="inlineStr">
      <is>
        <t>COPAS LTDA - ME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50" sId="1" xfDxf="1" s="1" dxf="1">
    <nc r="D57" t="inlineStr">
      <is>
        <t>11.720.180/0001-00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51" sId="2" odxf="1" dxf="1">
    <oc r="B81" t="inlineStr">
      <is>
        <t>COPAS</t>
      </is>
    </oc>
    <nc r="B81" t="inlineStr">
      <is>
        <t>COPAS LTDA - ME</t>
      </is>
    </nc>
    <odxf>
      <font>
        <sz val="10"/>
        <color auto="1"/>
      </font>
      <fill>
        <patternFill patternType="none">
          <bgColor indexed="65"/>
        </patternFill>
      </fill>
    </odxf>
    <ndxf>
      <font>
        <sz val="9"/>
        <color auto="1"/>
        <name val="Arial"/>
        <scheme val="none"/>
      </font>
      <fill>
        <patternFill patternType="solid">
          <bgColor theme="0"/>
        </patternFill>
      </fill>
    </ndxf>
  </rcc>
  <rcc rId="1952" sId="1" xfDxf="1" s="1" dxf="1">
    <nc r="D58" t="inlineStr">
      <is>
        <t>CEI 500761496708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53" sId="1" xfDxf="1" s="1" dxf="1">
    <nc r="E58" t="inlineStr">
      <is>
        <t xml:space="preserve">SINDICATO DA SÁUDE -  Data base: MAIO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54" sId="1">
    <nc r="E47" t="inlineStr">
      <is>
        <t xml:space="preserve">SINDICATO DA SÁUDE -  Data base: MAIO   </t>
      </is>
    </nc>
  </rcc>
  <rcc rId="1955" sId="1" xfDxf="1" dxf="1">
    <oc r="B58" t="inlineStr">
      <is>
        <t xml:space="preserve">DRA. MARIA LUIZA                                             SINDICATO DA SÁUDE -  CEI 500761496708           Data base: MAIO                                                                                                           </t>
      </is>
    </oc>
    <nc r="B58" t="inlineStr">
      <is>
        <t>MARIA LUIZA LIMA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56" sId="2" xfDxf="1" dxf="1">
    <oc r="B84" t="inlineStr">
      <is>
        <t>Dra. Maria Luiza</t>
      </is>
    </oc>
    <nc r="B84" t="inlineStr">
      <is>
        <t>MARIA LUIZA LIMA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957" sId="1">
    <nc r="F59" t="inlineStr">
      <is>
        <t>Presumido</t>
      </is>
    </nc>
  </rcc>
  <rcc rId="1958" sId="1" xfDxf="1" dxf="1">
    <oc r="B59" t="inlineStr">
      <is>
        <t xml:space="preserve">MIX ALTERNATIVO PRESUMIDO </t>
      </is>
    </oc>
    <nc r="B59" t="inlineStr">
      <is>
        <t>MIX ALTERNATIVO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59" sId="1" xfDxf="1" s="1" dxf="1">
    <nc r="D59" t="inlineStr">
      <is>
        <t>11.790.161/0001-42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60" sId="1" xfDxf="1" s="1" dxf="1">
    <nc r="D60" t="inlineStr">
      <is>
        <t>04.136.533/0001-56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60" start="0" length="0">
    <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dxf>
  </rfmt>
  <rcc rId="1961" sId="1">
    <nc r="F60" t="inlineStr">
      <is>
        <t>Presumido</t>
      </is>
    </nc>
  </rcc>
  <rrc rId="1962" sId="2" ref="A86:XFD86"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63" sId="2">
    <nc r="A86">
      <v>184</v>
    </nc>
  </rcc>
  <rcc rId="1964" sId="2" xfDxf="1" dxf="1">
    <nc r="B86" t="inlineStr">
      <is>
        <t>MOSTARDA PROPAGANDA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1965" sId="1" xfDxf="1" s="1" dxf="1">
    <nc r="E61" t="inlineStr">
      <is>
        <t>sind: metalurgico data base:Setembro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66" sId="1">
    <nc r="F61" t="inlineStr">
      <is>
        <t>Simples</t>
      </is>
    </nc>
  </rcc>
  <rcc rId="1967" sId="1" xfDxf="1" dxf="1">
    <oc r="B61" t="inlineStr">
      <is>
        <t>SOUZA CAR sind: metalurgico data base:Setembro</t>
      </is>
    </oc>
    <nc r="B61" t="inlineStr">
      <is>
        <t>SOUZA CAR LTDA - ME</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68" sId="1" xfDxf="1" s="1" dxf="1">
    <nc r="D61" t="inlineStr">
      <is>
        <t>08.990.570/0001-88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69" sId="2" odxf="1" dxf="1">
    <oc r="B87" t="inlineStr">
      <is>
        <t>SOUZA CAR</t>
      </is>
    </oc>
    <nc r="B87" t="inlineStr">
      <is>
        <t>SOUZA CAR LTDA - ME</t>
      </is>
    </nc>
    <odxf>
      <font>
        <sz val="10"/>
        <color auto="1"/>
      </font>
      <fill>
        <patternFill patternType="none">
          <bgColor indexed="65"/>
        </patternFill>
      </fill>
    </odxf>
    <ndxf>
      <font>
        <sz val="8"/>
        <color auto="1"/>
        <name val="Arial"/>
        <scheme val="none"/>
      </font>
      <fill>
        <patternFill patternType="solid">
          <bgColor theme="0"/>
        </patternFill>
      </fill>
    </ndxf>
  </rcc>
  <rcc rId="1970" sId="1">
    <nc r="F62" t="inlineStr">
      <is>
        <t>Presumido</t>
      </is>
    </nc>
  </rcc>
  <rcc rId="1971" sId="1" xfDxf="1" dxf="1">
    <oc r="B62" t="inlineStr">
      <is>
        <t>MOHENY - JF</t>
      </is>
    </oc>
    <nc r="B62" t="inlineStr">
      <is>
        <t>MOHENY CONSULTORIA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72" sId="1" xfDxf="1" s="1" dxf="1">
    <nc r="D62" t="inlineStr">
      <is>
        <t>11.925.169/0001-79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73" sId="1">
    <nc r="F63" t="inlineStr">
      <is>
        <t>Simples</t>
      </is>
    </nc>
  </rcc>
  <rcc rId="1974" sId="1" xfDxf="1" dxf="1">
    <oc r="B63" t="inlineStr">
      <is>
        <t>PHI REPRESENTACOES</t>
      </is>
    </oc>
    <nc r="B63" t="inlineStr">
      <is>
        <t>P H I REPRESENTACOES</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75" sId="1" xfDxf="1" s="1" dxf="1">
    <nc r="D63" t="inlineStr">
      <is>
        <t>00.897.738/0001-01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76" sId="2" odxf="1" dxf="1">
    <oc r="B90" t="inlineStr">
      <is>
        <t>PHI REPRESENTACOES</t>
      </is>
    </oc>
    <nc r="B90" t="inlineStr">
      <is>
        <t>P H I REPRESENTACOES</t>
      </is>
    </nc>
    <odxf>
      <font>
        <sz val="10"/>
        <color auto="1"/>
      </font>
      <fill>
        <patternFill patternType="none">
          <bgColor indexed="65"/>
        </patternFill>
      </fill>
    </odxf>
    <ndxf>
      <font>
        <sz val="10"/>
        <color auto="1"/>
        <name val="Arial"/>
        <scheme val="none"/>
      </font>
      <fill>
        <patternFill patternType="solid">
          <bgColor theme="0"/>
        </patternFill>
      </fill>
    </ndxf>
  </rcc>
  <rcc rId="1977" sId="1">
    <nc r="F64" t="inlineStr">
      <is>
        <t>Presumido</t>
      </is>
    </nc>
  </rcc>
  <rcc rId="1978" sId="1" xfDxf="1" dxf="1">
    <oc r="B64" t="inlineStr">
      <is>
        <t xml:space="preserve">INDUSTRIA DE TEMPEROS TOCANTINS PRESUMIDO </t>
      </is>
    </oc>
    <nc r="B64" t="inlineStr">
      <is>
        <t>TOCANTINS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79" sId="1" xfDxf="1" s="1" dxf="1">
    <nc r="D64" t="inlineStr">
      <is>
        <t>07.799.780/0001-20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80" sId="2" odxf="1" dxf="1">
    <oc r="B91" t="inlineStr">
      <is>
        <t>INDUSTRIA TEMPERO TOCANTINS</t>
      </is>
    </oc>
    <nc r="B91" t="inlineStr">
      <is>
        <t>TOCANTINS</t>
      </is>
    </nc>
    <odxf>
      <font>
        <sz val="10"/>
        <color auto="1"/>
      </font>
      <fill>
        <patternFill patternType="none">
          <bgColor indexed="65"/>
        </patternFill>
      </fill>
    </odxf>
    <ndxf>
      <font>
        <sz val="9"/>
        <color auto="1"/>
        <name val="Arial"/>
        <scheme val="none"/>
      </font>
      <fill>
        <patternFill patternType="solid">
          <bgColor theme="0"/>
        </patternFill>
      </fill>
    </ndxf>
  </rcc>
  <rcc rId="1981" sId="1">
    <nc r="F65" t="inlineStr">
      <is>
        <t>Presumido</t>
      </is>
    </nc>
  </rcc>
  <rcc rId="1982" sId="1" xfDxf="1" dxf="1">
    <oc r="B65" t="inlineStr">
      <is>
        <t xml:space="preserve">REPRE REPRESENTAÇOES PRESUMIDO </t>
      </is>
    </oc>
    <nc r="B65" t="inlineStr">
      <is>
        <t>REPRE REPRESENTACOES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83" sId="1" xfDxf="1" s="1" dxf="1">
    <nc r="D65" t="inlineStr">
      <is>
        <t>03.323.005/0001-43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84" sId="2" odxf="1" dxf="1">
    <oc r="B92" t="inlineStr">
      <is>
        <t>REPRE REPRESENTAÇOES</t>
      </is>
    </oc>
    <nc r="B92" t="inlineStr">
      <is>
        <t>REPRE REPRESENTACOES</t>
      </is>
    </nc>
    <odxf>
      <font>
        <sz val="10"/>
        <color auto="1"/>
      </font>
      <fill>
        <patternFill patternType="none">
          <bgColor indexed="65"/>
        </patternFill>
      </fill>
    </odxf>
    <ndxf>
      <font>
        <sz val="9"/>
        <color auto="1"/>
        <name val="Arial"/>
        <scheme val="none"/>
      </font>
      <fill>
        <patternFill patternType="solid">
          <bgColor theme="0"/>
        </patternFill>
      </fill>
    </ndxf>
  </rcc>
  <rcc rId="1985" sId="1" xfDxf="1" s="1" dxf="1">
    <nc r="D66" t="inlineStr">
      <is>
        <t>10.279.249/0001-31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86" sId="1" xfDxf="1" dxf="1">
    <oc r="B66" t="inlineStr">
      <is>
        <t>SISORC</t>
      </is>
    </oc>
    <nc r="B66" t="inlineStr">
      <is>
        <t>SISORC SOFTWARE</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1987" sId="1">
    <nc r="F66" t="inlineStr">
      <is>
        <t>Presumido</t>
      </is>
    </nc>
  </rcc>
  <rcc rId="1988" sId="1">
    <nc r="F67" t="inlineStr">
      <is>
        <t>Simples</t>
      </is>
    </nc>
  </rcc>
  <rfmt sheetId="1" xfDxf="1" s="1" sqref="D67"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1989" sId="1" xfDxf="1" s="1" dxf="1">
    <nc r="E67" t="inlineStr">
      <is>
        <t>sind:saúde data base:maio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90" sId="1" xfDxf="1" dxf="1">
    <oc r="B67" t="inlineStr">
      <is>
        <t>SILVEIRA RAMOS sind:saúde data base:maio</t>
      </is>
    </oc>
    <nc r="B67" t="inlineStr">
      <is>
        <t>SILVEIRA RAMOS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91" sId="1" xfDxf="1" s="1" dxf="1">
    <nc r="D67" t="inlineStr">
      <is>
        <t>12.759.011/0001-39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92" sId="1">
    <nc r="F68" t="inlineStr">
      <is>
        <t>Presumido</t>
      </is>
    </nc>
  </rcc>
  <rcc rId="1993" sId="1" xfDxf="1" dxf="1">
    <oc r="B68" t="inlineStr">
      <is>
        <t>GESTIVA</t>
      </is>
    </oc>
    <nc r="B68" t="inlineStr">
      <is>
        <t>GESTIVA GESTAO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1994" sId="1" xfDxf="1" s="1" dxf="1">
    <nc r="D68" t="inlineStr">
      <is>
        <t>10.929.760/0001-31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1995" sId="2" odxf="1" dxf="1">
    <oc r="B98" t="inlineStr">
      <is>
        <t>GESTIVA</t>
      </is>
    </oc>
    <nc r="B98" t="inlineStr">
      <is>
        <t>GESTIVA GESTAO</t>
      </is>
    </nc>
    <odxf>
      <font>
        <sz val="10"/>
        <color auto="1"/>
      </font>
      <fill>
        <patternFill patternType="none">
          <bgColor indexed="65"/>
        </patternFill>
      </fill>
    </odxf>
    <ndxf>
      <font>
        <sz val="8"/>
        <color auto="1"/>
        <name val="Arial"/>
        <scheme val="none"/>
      </font>
      <fill>
        <patternFill patternType="solid">
          <bgColor theme="0"/>
        </patternFill>
      </fill>
    </ndxf>
  </rcc>
  <rfmt sheetId="1" xfDxf="1" sqref="B69"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1996" sId="1" xfDxf="1" s="1" dxf="1">
    <nc r="D69" t="inlineStr">
      <is>
        <t>09.489.627/0001-22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1997" sId="2" ref="A100:XFD100"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1998" sId="2">
    <nc r="A100">
      <v>221</v>
    </nc>
  </rcc>
  <rcc rId="1999" sId="2" odxf="1" dxf="1">
    <nc r="B100" t="inlineStr">
      <is>
        <t>BARRA &amp; ALVES</t>
      </is>
    </nc>
    <odxf>
      <font>
        <sz val="10"/>
        <color auto="1"/>
      </font>
      <fill>
        <patternFill patternType="none">
          <bgColor indexed="65"/>
        </patternFill>
      </fill>
    </odxf>
    <ndxf>
      <font>
        <sz val="8"/>
        <color auto="1"/>
        <name val="Arial"/>
        <scheme val="none"/>
      </font>
      <fill>
        <patternFill patternType="solid">
          <bgColor theme="0"/>
        </patternFill>
      </fill>
    </ndxf>
  </rcc>
  <rcc rId="2000" sId="1" xfDxf="1" s="1" dxf="1">
    <nc r="E70" t="inlineStr">
      <is>
        <t>SINDICATO DA SÁUDE /ENFERMEIROS- MAIO/MARCO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01" sId="1" xfDxf="1" s="1" dxf="1">
    <nc r="D70" t="inlineStr">
      <is>
        <t>13.358.073/0001-00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02" sId="1" xfDxf="1" dxf="1">
    <oc r="B70" t="inlineStr">
      <is>
        <t>UROCLINICA                                                         SINDICATO DA SÁUDE /ENFERMEIROS- MAIO/MARCO    13.358.073/0001-00</t>
      </is>
    </oc>
    <nc r="B70" t="inlineStr">
      <is>
        <t>UROCLINICA LTDA - ME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03" sId="2" xfDxf="1" dxf="1">
    <oc r="B103" t="inlineStr">
      <is>
        <t>UROCLINICA</t>
      </is>
    </oc>
    <nc r="B103" t="inlineStr">
      <is>
        <t>UROCLINICA LTDA - ME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04" sId="1">
    <nc r="F71" t="inlineStr">
      <is>
        <t>Simples</t>
      </is>
    </nc>
  </rcc>
  <rcc rId="2005" sId="1" xfDxf="1" dxf="1">
    <oc r="B71" t="inlineStr">
      <is>
        <t>ENGELABOR</t>
      </is>
    </oc>
    <nc r="B71" t="inlineStr">
      <is>
        <t>ENGELABOR ENGENHARIA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06" sId="1" xfDxf="1" s="1" dxf="1">
    <nc r="D71" t="inlineStr">
      <is>
        <t>13.433.227/0001-72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07" sId="2" odxf="1" dxf="1">
    <oc r="B104" t="inlineStr">
      <is>
        <t>ENGELABOR</t>
      </is>
    </oc>
    <nc r="B104" t="inlineStr">
      <is>
        <t>ENGELABOR ENGENHARIA</t>
      </is>
    </nc>
    <odxf>
      <font>
        <sz val="10"/>
        <color auto="1"/>
      </font>
      <fill>
        <patternFill patternType="none">
          <bgColor indexed="65"/>
        </patternFill>
      </fill>
    </odxf>
    <ndxf>
      <font>
        <sz val="10"/>
        <color auto="1"/>
        <name val="Arial"/>
        <scheme val="none"/>
      </font>
      <fill>
        <patternFill patternType="solid">
          <bgColor theme="0"/>
        </patternFill>
      </fill>
    </ndxf>
  </rcc>
  <rcc rId="2008" sId="1" xfDxf="1" s="1" dxf="1">
    <nc r="D72" t="inlineStr">
      <is>
        <t xml:space="preserve">13.482.473/0001-14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09" sId="1" xfDxf="1" s="1" dxf="1">
    <nc r="E72" t="inlineStr">
      <is>
        <t xml:space="preserve">SINDICATO DA SAÚDE - Data base: MAIO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10" sId="1" xfDxf="1" dxf="1">
    <oc r="B72" t="inlineStr">
      <is>
        <t xml:space="preserve">EURO EMPREENDIMENTOS                           SINDICATO DA SAÚDE -    13.482.473/0001-14                                                        Data base: MAIO                                                                                                           </t>
      </is>
    </oc>
    <nc r="B72" t="inlineStr">
      <is>
        <t>EURO EMPREENDIMENTOS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11" sId="1">
    <nc r="F72" t="inlineStr">
      <is>
        <t>Simples</t>
      </is>
    </nc>
  </rcc>
  <rcc rId="2012" sId="1">
    <nc r="F73" t="inlineStr">
      <is>
        <t>Simples</t>
      </is>
    </nc>
  </rcc>
  <rfmt sheetId="1" xfDxf="1" sqref="B73"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013" sId="1" xfDxf="1" s="1" dxf="1">
    <nc r="D73" t="inlineStr">
      <is>
        <t>13.495.931/0001-50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14" sId="1">
    <nc r="F74" t="inlineStr">
      <is>
        <t>Presumido</t>
      </is>
    </nc>
  </rcc>
  <rcc rId="2015" sId="1">
    <oc r="A74">
      <v>20</v>
    </oc>
    <nc r="A74">
      <v>236</v>
    </nc>
  </rcc>
  <rcc rId="2016" sId="1" xfDxf="1" dxf="1">
    <oc r="B74" t="inlineStr">
      <is>
        <t>EURO CONSTRUTORA</t>
      </is>
    </oc>
    <nc r="B74" t="inlineStr">
      <is>
        <t>EURO ELERATI</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017" sId="1" xfDxf="1" s="1" dxf="1">
    <nc r="D74" t="inlineStr">
      <is>
        <t>13.536.585/0001-00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18" sId="2" odxf="1" dxf="1">
    <oc r="B107" t="inlineStr">
      <is>
        <t>EURO CONSTRUTORA</t>
      </is>
    </oc>
    <nc r="B107" t="inlineStr">
      <is>
        <t>EURO ELERATI</t>
      </is>
    </nc>
    <odxf>
      <font>
        <sz val="10"/>
        <color auto="1"/>
      </font>
    </odxf>
    <ndxf>
      <font>
        <sz val="8"/>
        <color auto="1"/>
        <name val="Arial"/>
        <scheme val="none"/>
      </font>
    </ndxf>
  </rcc>
  <rcc rId="2019" sId="1">
    <nc r="F75" t="inlineStr">
      <is>
        <t>Simples</t>
      </is>
    </nc>
  </rcc>
  <rcc rId="2020" sId="1" xfDxf="1" dxf="1">
    <oc r="B75" t="inlineStr">
      <is>
        <t>ATC PRODUÇÕES</t>
      </is>
    </oc>
    <nc r="B75" t="inlineStr">
      <is>
        <t>ATC PRODUCOES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21" sId="1" xfDxf="1" s="1" dxf="1">
    <nc r="D75" t="inlineStr">
      <is>
        <t>13.548.351/0001-83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22" sId="2" odxf="1" dxf="1">
    <oc r="B108" t="inlineStr">
      <is>
        <t>ATC PRODUÇÕES</t>
      </is>
    </oc>
    <nc r="B108" t="inlineStr">
      <is>
        <t>ATC PRODUCOES</t>
      </is>
    </nc>
    <odxf>
      <font>
        <sz val="10"/>
        <color auto="1"/>
      </font>
      <fill>
        <patternFill patternType="none">
          <bgColor indexed="65"/>
        </patternFill>
      </fill>
    </odxf>
    <ndxf>
      <font>
        <sz val="8"/>
        <color auto="1"/>
        <name val="Arial"/>
        <scheme val="none"/>
      </font>
      <fill>
        <patternFill patternType="solid">
          <bgColor theme="0"/>
        </patternFill>
      </fill>
    </ndxf>
  </rcc>
  <rcc rId="2023" sId="1" xfDxf="1" s="1" dxf="1">
    <nc r="D76" t="inlineStr">
      <is>
        <t>CEI 512117533085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24" sId="1">
    <nc r="E76" t="inlineStr">
      <is>
        <t>Data base: Janeiro</t>
      </is>
    </nc>
  </rcc>
  <rcc rId="2025" sId="1" xfDxf="1" dxf="1">
    <oc r="B76" t="inlineStr">
      <is>
        <t xml:space="preserve">PEDRO AURÉLIO - SÍTIO CEI 512117533085                       Data base: Janeiro                                                                                                  </t>
      </is>
    </oc>
    <nc r="B76" t="inlineStr">
      <is>
        <t>PEDRO AURELIO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26" sId="1">
    <nc r="F76" t="inlineStr">
      <is>
        <t>CEI</t>
      </is>
    </nc>
  </rcc>
  <rcc rId="2027" sId="2" xfDxf="1" dxf="1">
    <oc r="B110" t="inlineStr">
      <is>
        <t>PEDRO AURÉLIO (SÍTIO)</t>
      </is>
    </oc>
    <nc r="B110" t="inlineStr">
      <is>
        <t>PEDRO AURELIO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28" sId="2">
    <nc r="D110" t="inlineStr">
      <is>
        <t>Sítio</t>
      </is>
    </nc>
  </rcc>
  <rcc rId="2029" sId="1">
    <nc r="F77" t="inlineStr">
      <is>
        <t>Presumido</t>
      </is>
    </nc>
  </rcc>
  <rcc rId="2030" sId="1" xfDxf="1" dxf="1">
    <oc r="B77" t="inlineStr">
      <is>
        <t>JCM LOCAÇÃO DE VEICUL</t>
      </is>
    </oc>
    <nc r="B77" t="inlineStr">
      <is>
        <t>J.C.M. LOCACAO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31" sId="1" xfDxf="1" s="1" dxf="1">
    <nc r="D77" t="inlineStr">
      <is>
        <t>86.652.534/0001-18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32" sId="2" odxf="1" dxf="1">
    <oc r="B113" t="inlineStr">
      <is>
        <t>JCM LOCAÇÃO DE VEICULOS</t>
      </is>
    </oc>
    <nc r="B113" t="inlineStr">
      <is>
        <t>J.C.M. LOCACAO</t>
      </is>
    </nc>
    <odxf>
      <font>
        <sz val="10"/>
        <color auto="1"/>
      </font>
      <fill>
        <patternFill patternType="none">
          <bgColor indexed="65"/>
        </patternFill>
      </fill>
    </odxf>
    <ndxf>
      <font>
        <sz val="8"/>
        <color auto="1"/>
        <name val="Arial"/>
        <scheme val="none"/>
      </font>
      <fill>
        <patternFill patternType="solid">
          <bgColor theme="0"/>
        </patternFill>
      </fill>
    </ndxf>
  </rcc>
  <rcc rId="2033" sId="1" xfDxf="1" s="1" dxf="1">
    <nc r="F78" t="inlineStr">
      <is>
        <t>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2034" sheetId="1" source="F78" destination="E78" sourceSheetId="1">
    <rfmt sheetId="1" s="1" sqref="E78" start="0" length="0">
      <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m>
  <rcc rId="2035" sId="1" xfDxf="1" s="1" dxf="1">
    <nc r="D78" t="inlineStr">
      <is>
        <t>13.781.853/0001-50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36" sId="1" odxf="1" s="1" dxf="1">
    <nc r="F78" t="inlineStr">
      <is>
        <t>Simples</t>
      </is>
    </nc>
    <ndxf>
      <font>
        <u/>
        <sz val="10"/>
        <color theme="10"/>
        <name val="Arial"/>
        <scheme val="none"/>
      </font>
      <alignment horizontal="center" vertical="center" readingOrder="0"/>
      <border outline="0">
        <left style="thin">
          <color indexed="64"/>
        </left>
        <right style="thin">
          <color indexed="64"/>
        </right>
        <top style="thin">
          <color indexed="64"/>
        </top>
      </border>
    </ndxf>
  </rcc>
  <rcc rId="2037" sId="1" xfDxf="1" dxf="1">
    <oc r="B78" t="inlineStr">
      <is>
        <t>RM LABORATORIO DE PROTESE  Simples  13.781.853/0001-50     Data base maio</t>
      </is>
    </oc>
    <nc r="B78" t="inlineStr">
      <is>
        <t>RM LABORATORIO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38" sId="2" xfDxf="1" dxf="1">
    <oc r="B114" t="inlineStr">
      <is>
        <t>RM LABORATÓRIO DE PROTESE</t>
      </is>
    </oc>
    <nc r="B114" t="inlineStr">
      <is>
        <t>RM LABORATORIO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39" sId="1" xfDxf="1" s="1" dxf="1">
    <nc r="D79" t="inlineStr">
      <is>
        <t>01.149.866/0001-21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40" sId="1" xfDxf="1" s="1" dxf="1">
    <nc r="E79" t="inlineStr">
      <is>
        <t>sind: Sindibref mg 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41" sId="1">
    <nc r="F79" t="inlineStr">
      <is>
        <t>Associação</t>
      </is>
    </nc>
  </rcc>
  <rcc rId="2042" sId="1" xfDxf="1" dxf="1">
    <oc r="B79" t="inlineStr">
      <is>
        <t>Centro de Apoio e Solidaried'AIDS sind: Sindibref mg data base: Janeiro     CNPJ:01.149.866/0001-21</t>
      </is>
    </oc>
    <nc r="B79" t="inlineStr">
      <is>
        <t>GRUPO CASA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43" sId="2" xfDxf="1" dxf="1">
    <oc r="B116" t="inlineStr">
      <is>
        <t>CENTRO DE APOIO E SOLIDARIEDADES AIDS</t>
      </is>
    </oc>
    <nc r="B116" t="inlineStr">
      <is>
        <t>GRUPO CASA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44" sId="1" xfDxf="1" s="1" dxf="1">
    <nc r="E80" t="inlineStr">
      <is>
        <t>sind:comércio data base:outubro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45" sId="1" xfDxf="1" dxf="1">
    <oc r="B80" t="inlineStr">
      <is>
        <t>Motolima sind:comércio data base:outubro</t>
      </is>
    </oc>
    <nc r="B80" t="inlineStr">
      <is>
        <t>MOTOLIMA COMERCIAL</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46" sId="1">
    <nc r="F80" t="inlineStr">
      <is>
        <t>Simples</t>
      </is>
    </nc>
  </rcc>
  <rcc rId="2047" sId="1" xfDxf="1" s="1" dxf="1">
    <nc r="D80" t="inlineStr">
      <is>
        <t>08.468.470/0001-96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48" sId="2" odxf="1" dxf="1">
    <oc r="B117" t="inlineStr">
      <is>
        <t>MOTOLIMA</t>
      </is>
    </oc>
    <nc r="B117" t="inlineStr">
      <is>
        <t>MOTOLIMA COMERCIAL</t>
      </is>
    </nc>
    <odxf>
      <font>
        <sz val="10"/>
        <color auto="1"/>
      </font>
      <fill>
        <patternFill patternType="none">
          <bgColor indexed="65"/>
        </patternFill>
      </fill>
    </odxf>
    <ndxf>
      <font>
        <sz val="8"/>
        <color auto="1"/>
        <name val="Arial"/>
        <scheme val="none"/>
      </font>
      <fill>
        <patternFill patternType="solid">
          <bgColor theme="0"/>
        </patternFill>
      </fill>
    </ndxf>
  </rcc>
  <rfmt sheetId="1" xfDxf="1" s="1" sqref="E81"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049" sId="1">
    <nc r="E81" t="inlineStr">
      <is>
        <t xml:space="preserve"> SIND: TRANSPORTES  DATA BASE: MAIO  </t>
      </is>
    </nc>
  </rcc>
  <rcc rId="2050" sId="1" xfDxf="1" s="1" dxf="1">
    <nc r="D81" t="inlineStr">
      <is>
        <t>13.944.643/0001-35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51" sId="1" xfDxf="1" dxf="1">
    <oc r="B81" t="inlineStr">
      <is>
        <t xml:space="preserve">ONLY DRIVERS                       13.944.643/0001-35               SIND: TRANSPORTES       DATA BASE: MAIO PRESUMIDO </t>
      </is>
    </oc>
    <nc r="B81" t="inlineStr">
      <is>
        <t>ONLY DRIVERS AGENCIA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52" sId="1">
    <nc r="F81" t="inlineStr">
      <is>
        <t>Presumido</t>
      </is>
    </nc>
  </rcc>
  <rcc rId="2053" sId="2" xfDxf="1" dxf="1">
    <oc r="B118" t="inlineStr">
      <is>
        <t>ONLY DRIVERS</t>
      </is>
    </oc>
    <nc r="B118" t="inlineStr">
      <is>
        <t>ONLY DRIVERS AGENCIA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54" sId="1">
    <nc r="F82" t="inlineStr">
      <is>
        <t>ORG RELIGIOSA</t>
      </is>
    </nc>
  </rcc>
  <rcc rId="2055" sId="1" xfDxf="1" dxf="1">
    <oc r="B82" t="inlineStr">
      <is>
        <t>Igreja União Ecumênica</t>
      </is>
    </oc>
    <nc r="B82" t="inlineStr">
      <is>
        <t>IGREJA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056" sId="1" xfDxf="1" s="1" dxf="1">
    <nc r="D82" t="inlineStr">
      <is>
        <t>97.553.726/0001-21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2057" sId="2" ref="A119:XFD119"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058" sId="2">
    <nc r="A119">
      <v>258</v>
    </nc>
  </rcc>
  <rcc rId="2059" sId="2" odxf="1" dxf="1">
    <nc r="B119" t="inlineStr">
      <is>
        <t>IGREJA</t>
      </is>
    </nc>
    <odxf>
      <font>
        <sz val="10"/>
        <color auto="1"/>
      </font>
    </odxf>
    <ndxf>
      <font>
        <sz val="8"/>
        <color auto="1"/>
        <name val="Arial"/>
        <scheme val="none"/>
      </font>
    </ndxf>
  </rcc>
  <rcc rId="2060" sId="1" xfDxf="1" s="1" dxf="1">
    <nc r="D83" t="inlineStr">
      <is>
        <t>02.329.318/0001-46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61" sId="1" xfDxf="1" s="1" dxf="1">
    <nc r="E83" t="inlineStr">
      <is>
        <t>DATA BASE: FEVEREIRO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62" sId="1" xfDxf="1" dxf="1">
    <oc r="B83" t="inlineStr">
      <is>
        <t>LUCIENE EVARISTO DATA BASE: FEVEREIRO DATA BASE: FEVEREIRO     CNPJ:02.329.318/0001-46</t>
      </is>
    </oc>
    <nc r="B83" t="inlineStr">
      <is>
        <t>LUCIENE EVARISTO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63" sId="1">
    <nc r="F83" t="inlineStr">
      <is>
        <t>Simoles</t>
      </is>
    </nc>
  </rcc>
  <rcc rId="2064" sId="1" xfDxf="1" s="1" dxf="1">
    <nc r="D84" t="inlineStr">
      <is>
        <t>14.278.281/0001-53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65" sId="1">
    <nc r="F84" t="inlineStr">
      <is>
        <t>Simples</t>
      </is>
    </nc>
  </rcc>
  <rcc rId="2066" sId="1" xfDxf="1" s="1" dxf="1">
    <nc r="E84"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67" sId="1" xfDxf="1" dxf="1">
    <oc r="B84" t="inlineStr">
      <is>
        <t>SILVÂNIA MIRTES                                            Simples                 14.278.281/0001-53             Data base: Outubro</t>
      </is>
    </oc>
    <nc r="B84" t="inlineStr">
      <is>
        <t>SILVANIA MIRTES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68" sId="2" xfDxf="1" dxf="1">
    <oc r="B123" t="inlineStr">
      <is>
        <t>SILVANIA MIRTES DA LUZ AFFONSO - ME</t>
      </is>
    </oc>
    <nc r="B123" t="inlineStr">
      <is>
        <t>SILVANIA MIRTES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69" sId="1">
    <nc r="F85" t="inlineStr">
      <is>
        <t>SIMEI</t>
      </is>
    </nc>
  </rcc>
  <rcc rId="2070" sId="1" xfDxf="1" dxf="1">
    <oc r="B85" t="inlineStr">
      <is>
        <t>JOSE CARLOS DE OLIVEIRA</t>
      </is>
    </oc>
    <nc r="B85" t="inlineStr">
      <is>
        <t>JOSE CARLOS</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071" sId="1" xfDxf="1" s="1" dxf="1">
    <nc r="D85" t="inlineStr">
      <is>
        <t>13.663.038/0001-96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2072" sId="2" ref="A124:XFD12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073" sId="2">
    <nc r="A124">
      <v>267</v>
    </nc>
  </rcc>
  <rcc rId="2074" sId="2" odxf="1" dxf="1">
    <nc r="B124" t="inlineStr">
      <is>
        <t>JOSE CARLOS</t>
      </is>
    </nc>
    <odxf>
      <font>
        <sz val="10"/>
        <color auto="1"/>
      </font>
    </odxf>
    <ndxf>
      <font>
        <sz val="8"/>
        <color auto="1"/>
        <name val="Arial"/>
        <scheme val="none"/>
      </font>
    </ndxf>
  </rcc>
  <rcc rId="2075" sId="1">
    <nc r="F86" t="inlineStr">
      <is>
        <t>Simples</t>
      </is>
    </nc>
  </rcc>
  <rcc rId="2076" sId="1" xfDxf="1" dxf="1">
    <oc r="B86" t="inlineStr">
      <is>
        <t>CONFIANÇA</t>
      </is>
    </oc>
    <nc r="B86" t="inlineStr">
      <is>
        <t>CONFIANCA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77" sId="1" xfDxf="1" s="1" dxf="1">
    <nc r="D86" t="inlineStr">
      <is>
        <t>14.299.482/0001-37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2078" sId="2" ref="A125:XFD12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079" sId="2">
    <nc r="A125">
      <v>269</v>
    </nc>
  </rcc>
  <rcc rId="2080" sId="2" odxf="1" dxf="1">
    <nc r="B125" t="inlineStr">
      <is>
        <t>CONFIANCA</t>
      </is>
    </nc>
    <odxf>
      <font>
        <sz val="8"/>
        <color auto="1"/>
        <name val="Arial"/>
        <scheme val="none"/>
      </font>
      <fill>
        <patternFill patternType="none">
          <bgColor indexed="65"/>
        </patternFill>
      </fill>
    </odxf>
    <ndxf>
      <font>
        <sz val="10"/>
        <color auto="1"/>
        <name val="Arial"/>
        <scheme val="none"/>
      </font>
      <fill>
        <patternFill patternType="solid">
          <bgColor theme="0"/>
        </patternFill>
      </fill>
    </ndxf>
  </rcc>
  <rfmt sheetId="1" xfDxf="1" s="1" sqref="D87"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081" sId="1" xfDxf="1" s="1" dxf="1">
    <nc r="E87"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82" sId="1" xfDxf="1" s="1" dxf="1">
    <nc r="D87" t="inlineStr">
      <is>
        <t>14.777.439/0001-30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83" sId="1" xfDxf="1" dxf="1">
    <oc r="B87" t="inlineStr">
      <is>
        <t>META MAX                                 14.77.439/0001-30                     Data base: Outubro</t>
      </is>
    </oc>
    <nc r="B87" t="inlineStr">
      <is>
        <t>META MAX</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84" sId="1">
    <nc r="F87" t="inlineStr">
      <is>
        <t>Simples</t>
      </is>
    </nc>
  </rcc>
  <rcc rId="2085" sId="2" xfDxf="1" dxf="1">
    <oc r="B130" t="inlineStr">
      <is>
        <t>REPREMAIS</t>
      </is>
    </oc>
    <nc r="B130" t="inlineStr">
      <is>
        <t>META MAX</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86" sId="1" xfDxf="1" s="1" dxf="1">
    <nc r="D88" t="inlineStr">
      <is>
        <t>14.837.410/0001-04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87" sId="1">
    <nc r="F88" t="inlineStr">
      <is>
        <t>Simples</t>
      </is>
    </nc>
  </rcc>
  <rfmt sheetId="1" xfDxf="1" sqref="B88"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088" sId="1">
    <nc r="F89" t="inlineStr">
      <is>
        <t>Simples</t>
      </is>
    </nc>
  </rcc>
  <rcc rId="2089" sId="1" xfDxf="1" dxf="1">
    <oc r="B89" t="inlineStr">
      <is>
        <t xml:space="preserve">ESTUDE FACIL </t>
      </is>
    </oc>
    <nc r="B89" t="inlineStr">
      <is>
        <t>ESTUDE FACIL LTDA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90" sId="1" xfDxf="1" s="1" dxf="1">
    <nc r="D89" t="inlineStr">
      <is>
        <t>13.704.602/0001-71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91" sId="2" odxf="1" dxf="1">
    <oc r="B136" t="inlineStr">
      <is>
        <t xml:space="preserve">ESTUDE FACIL </t>
      </is>
    </oc>
    <nc r="B136" t="inlineStr">
      <is>
        <t>ESTUDE FACIL LTDA</t>
      </is>
    </nc>
    <odxf>
      <font>
        <sz val="10"/>
        <color auto="1"/>
      </font>
      <fill>
        <patternFill patternType="none">
          <bgColor indexed="65"/>
        </patternFill>
      </fill>
    </odxf>
    <ndxf>
      <font>
        <sz val="10"/>
        <color auto="1"/>
        <name val="Arial"/>
        <scheme val="none"/>
      </font>
      <fill>
        <patternFill patternType="solid">
          <bgColor theme="0"/>
        </patternFill>
      </fill>
    </ndxf>
  </rcc>
  <rcc rId="2092" sId="1" xfDxf="1" s="1" dxf="1">
    <nc r="E90" t="inlineStr">
      <is>
        <t xml:space="preserve"> Data base: abril</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93" sId="1">
    <nc r="D90" t="inlineStr">
      <is>
        <t>15.276.438/0001-74</t>
      </is>
    </nc>
  </rcc>
  <rcc rId="2094" sId="1">
    <nc r="F90" t="inlineStr">
      <is>
        <t>Presumido</t>
      </is>
    </nc>
  </rcc>
  <rcc rId="2095" sId="1" xfDxf="1" dxf="1">
    <oc r="B90" t="inlineStr">
      <is>
        <t>WM CONSTRUTORA E INCORPORADORA Presumido 15.276.438/0001-74    Data base: abril</t>
      </is>
    </oc>
    <nc r="B90" t="inlineStr">
      <is>
        <t>WM CONSTRUTORA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96" sId="2" xfDxf="1" dxf="1">
    <oc r="B137" t="inlineStr">
      <is>
        <t>WM CONSTRUTORA E INCORPORADORA</t>
      </is>
    </oc>
    <nc r="B137" t="inlineStr">
      <is>
        <t>WM CONSTRUTORA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097" sId="1" xfDxf="1" s="1" dxf="1">
    <nc r="D91" t="inlineStr">
      <is>
        <t>15.568.145/0001-60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098" sId="1" xfDxf="1" dxf="1">
    <oc r="B91" t="inlineStr">
      <is>
        <t>DABLIU STUDIO CRIATIVO LTDA - ME</t>
      </is>
    </oc>
    <nc r="B91" t="inlineStr">
      <is>
        <t>DABLIU STUDIO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099" sId="1">
    <nc r="F91" t="inlineStr">
      <is>
        <t>Simples</t>
      </is>
    </nc>
  </rcc>
  <rcc rId="2100" sId="2" xfDxf="1" dxf="1">
    <oc r="B139" t="inlineStr">
      <is>
        <t>DABLIU STUDIO CRIATIVO</t>
      </is>
    </oc>
    <nc r="B139" t="inlineStr">
      <is>
        <t>DABLIU STUDIO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01" sId="1" xfDxf="1" s="1" dxf="1">
    <nc r="D92" t="inlineStr">
      <is>
        <t>14.615.433/0001-66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02" sId="1">
    <nc r="F92" t="inlineStr">
      <is>
        <t>Simples</t>
      </is>
    </nc>
  </rcc>
  <rcc rId="2103" sId="1" xfDxf="1" dxf="1">
    <oc r="B92" t="inlineStr">
      <is>
        <t>Ana Lucia de Carvalho</t>
      </is>
    </oc>
    <nc r="B92" t="inlineStr">
      <is>
        <t>ANA LUCIA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04" sId="2" xfDxf="1" dxf="1">
    <oc r="B138" t="inlineStr">
      <is>
        <t>ANA LÚCIA DE CARVALHO</t>
      </is>
    </oc>
    <nc r="B138" t="inlineStr">
      <is>
        <t>ANA LUCIA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05" sId="1">
    <nc r="F93" t="inlineStr">
      <is>
        <t>SIMEI</t>
      </is>
    </nc>
  </rcc>
  <rcc rId="2106" sId="1" xfDxf="1" dxf="1">
    <oc r="B93" t="inlineStr">
      <is>
        <t>PAULO CICERO DA SILVA (SIMEI)</t>
      </is>
    </oc>
    <nc r="B93" t="inlineStr">
      <is>
        <t>PAULO CICERO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07" sId="1" xfDxf="1" s="1" dxf="1">
    <nc r="D93" t="inlineStr">
      <is>
        <t>15.547.042/0001-14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08" sId="2" odxf="1" dxf="1">
    <oc r="B140" t="inlineStr">
      <is>
        <t>PAULO CICERO DA SILVA (SIMEI)</t>
      </is>
    </oc>
    <nc r="B140" t="inlineStr">
      <is>
        <t>PAULO CICERO</t>
      </is>
    </nc>
    <odxf>
      <font>
        <sz val="10"/>
        <color auto="1"/>
      </font>
      <fill>
        <patternFill patternType="none">
          <bgColor indexed="65"/>
        </patternFill>
      </fill>
    </odxf>
    <ndxf>
      <font>
        <sz val="8"/>
        <color auto="1"/>
        <name val="Arial"/>
        <scheme val="none"/>
      </font>
      <fill>
        <patternFill patternType="solid">
          <bgColor theme="0"/>
        </patternFill>
      </fill>
    </ndxf>
  </rcc>
  <rcc rId="2109" sId="1" xfDxf="1" s="1" dxf="1">
    <nc r="E94" t="inlineStr">
      <is>
        <t>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10" sId="1" xfDxf="1" s="1" dxf="1">
    <nc r="D94" t="inlineStr">
      <is>
        <t>15.681.040/0001-13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11" sId="1">
    <nc r="F94" t="inlineStr">
      <is>
        <t>Simples</t>
      </is>
    </nc>
  </rcc>
  <rcc rId="2112" sId="1" xfDxf="1" dxf="1">
    <oc r="B94" t="inlineStr">
      <is>
        <t>IN JF CLINICA ODONTOLOGICA    Simples 15.681.040/0001-13 Data base: maio</t>
      </is>
    </oc>
    <nc r="B94" t="inlineStr">
      <is>
        <t>IN JF CLINICA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13" sId="2" xfDxf="1" dxf="1">
    <oc r="B141" t="inlineStr">
      <is>
        <t>IN JF CLINICA ODONTOLOGICA</t>
      </is>
    </oc>
    <nc r="B141" t="inlineStr">
      <is>
        <t>IN JF CLINICA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14" sId="1">
    <nc r="F95" t="inlineStr">
      <is>
        <t>Simples</t>
      </is>
    </nc>
  </rcc>
  <rfmt sheetId="1" xfDxf="1" sqref="B95"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1" xfDxf="1" s="1" sqref="D95"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115" sId="1" xfDxf="1" s="1" dxf="1">
    <nc r="D95" t="inlineStr">
      <is>
        <t>15.685.378/0001-43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16" sId="1">
    <nc r="F96" t="inlineStr">
      <is>
        <t>Presumido</t>
      </is>
    </nc>
  </rcc>
  <rcc rId="2117" sId="1" xfDxf="1" dxf="1">
    <nc r="M96" t="inlineStr">
      <is>
        <t xml:space="preserve"> Cod Gfip  - 155</t>
      </is>
    </nc>
    <ndxf>
      <font>
        <sz val="12"/>
        <name val="Arial"/>
        <scheme val="none"/>
      </font>
    </ndxf>
  </rcc>
  <rcc rId="2118" sId="1" xfDxf="1" dxf="1">
    <oc r="B96" t="inlineStr">
      <is>
        <r>
          <t xml:space="preserve">ROYALTEK INCORPORACOES              </t>
        </r>
        <r>
          <rPr>
            <b/>
            <sz val="10"/>
            <rFont val="Arial"/>
            <family val="2"/>
          </rPr>
          <t xml:space="preserve"> Cod Gfip  - 155 PRESUMIDO </t>
        </r>
      </is>
    </oc>
    <nc r="B96" t="inlineStr">
      <is>
        <t>ROYALTEK</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19" sId="1" xfDxf="1" s="1" dxf="1">
    <nc r="D96" t="inlineStr">
      <is>
        <t>15.728.127/0001-07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20" sId="2" odxf="1" dxf="1">
    <oc r="B143" t="inlineStr">
      <is>
        <t>ROYALTEK INCORPORACOES</t>
      </is>
    </oc>
    <nc r="B143" t="inlineStr">
      <is>
        <t>ROYALTEK</t>
      </is>
    </nc>
    <odxf>
      <font>
        <sz val="10"/>
        <color auto="1"/>
      </font>
      <fill>
        <patternFill patternType="none">
          <bgColor indexed="65"/>
        </patternFill>
      </fill>
    </odxf>
    <ndxf>
      <font>
        <sz val="10"/>
        <color auto="1"/>
        <name val="Arial"/>
        <scheme val="none"/>
      </font>
      <fill>
        <patternFill patternType="solid">
          <bgColor theme="0"/>
        </patternFill>
      </fill>
    </ndxf>
  </rcc>
  <rcc rId="2121" sId="1" xfDxf="1" dxf="1">
    <oc r="B97" t="inlineStr">
      <is>
        <t>PAULO SCAFUTTO ENGENHARIA  - EQUITEC</t>
      </is>
    </oc>
    <nc r="B97" t="inlineStr">
      <is>
        <t>PAULO SCAFUTTO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22" sId="1">
    <nc r="F97" t="inlineStr">
      <is>
        <t>Simples</t>
      </is>
    </nc>
  </rcc>
  <rcc rId="2123" sId="1" xfDxf="1" s="1" dxf="1">
    <nc r="D97" t="inlineStr">
      <is>
        <t>15.761.981/0001-67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24" sId="2" odxf="1" dxf="1">
    <oc r="B146" t="inlineStr">
      <is>
        <t xml:space="preserve">PAULO SCAFUTTO ENGENHARIA </t>
      </is>
    </oc>
    <nc r="B146" t="inlineStr">
      <is>
        <t>PAULO SCAFUTTO</t>
      </is>
    </nc>
    <odxf>
      <font>
        <sz val="10"/>
        <color auto="1"/>
      </font>
      <fill>
        <patternFill patternType="none">
          <bgColor indexed="65"/>
        </patternFill>
      </fill>
    </odxf>
    <ndxf>
      <font>
        <sz val="10"/>
        <color auto="1"/>
        <name val="Arial"/>
        <scheme val="none"/>
      </font>
      <fill>
        <patternFill patternType="solid">
          <bgColor theme="0"/>
        </patternFill>
      </fill>
    </ndxf>
  </rcc>
  <rcc rId="2125" sId="1">
    <nc r="F98" t="inlineStr">
      <is>
        <t>Simples</t>
      </is>
    </nc>
  </rcc>
  <rcc rId="2126" sId="1" xfDxf="1" dxf="1">
    <oc r="B98" t="inlineStr">
      <is>
        <t xml:space="preserve"> PL Neto Representações (PROFIO COMERCIO)</t>
      </is>
    </oc>
    <nc r="B98" t="inlineStr">
      <is>
        <t>P. L. NETO REPRESENT</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27" sId="1" xfDxf="1" s="1" dxf="1">
    <nc r="D98" t="inlineStr">
      <is>
        <t>86.542.966/0001-76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28" sId="2" odxf="1" dxf="1">
    <oc r="B147" t="inlineStr">
      <is>
        <t>PROFIO COMERCIO</t>
      </is>
    </oc>
    <nc r="B147" t="inlineStr">
      <is>
        <t>P. L. NETO REPRESENT</t>
      </is>
    </nc>
    <odxf>
      <font>
        <sz val="10"/>
        <color auto="1"/>
      </font>
      <fill>
        <patternFill patternType="none">
          <bgColor indexed="65"/>
        </patternFill>
      </fill>
    </odxf>
    <ndxf>
      <font>
        <sz val="10"/>
        <color auto="1"/>
        <name val="Arial"/>
        <scheme val="none"/>
      </font>
      <fill>
        <patternFill patternType="solid">
          <bgColor theme="0"/>
        </patternFill>
      </fill>
    </ndxf>
  </rcc>
  <rcc rId="2129" sId="1" xfDxf="1" dxf="1">
    <oc r="B99" t="inlineStr">
      <is>
        <t>JOAO PAULO REPRESENTAÇÃO</t>
      </is>
    </oc>
    <nc r="B99" t="inlineStr">
      <is>
        <t>JOAO PAULO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30" sId="1">
    <nc r="F99" t="inlineStr">
      <is>
        <t>Presumido</t>
      </is>
    </nc>
  </rcc>
  <rcc rId="2131" sId="1" xfDxf="1" s="1" dxf="1">
    <nc r="D99" t="inlineStr">
      <is>
        <t>16.670.281/0001-20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32" sId="2" odxf="1" dxf="1">
    <oc r="B149" t="inlineStr">
      <is>
        <t>JOAO PAULO REPRESENTACAO</t>
      </is>
    </oc>
    <nc r="B149" t="inlineStr">
      <is>
        <t>JOAO PAULO</t>
      </is>
    </nc>
    <odxf>
      <font>
        <sz val="10"/>
        <color auto="1"/>
      </font>
      <fill>
        <patternFill patternType="none">
          <bgColor indexed="65"/>
        </patternFill>
      </fill>
    </odxf>
    <ndxf>
      <font>
        <sz val="10"/>
        <color auto="1"/>
        <name val="Arial"/>
        <scheme val="none"/>
      </font>
      <fill>
        <patternFill patternType="solid">
          <bgColor theme="0"/>
        </patternFill>
      </fill>
    </ndxf>
  </rcc>
  <rcc rId="2133" sId="1" xfDxf="1" s="1" dxf="1">
    <nc r="D100" t="inlineStr">
      <is>
        <t>14.170.283/0001-24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34" sId="1" xfDxf="1" dxf="1">
    <oc r="B100" t="inlineStr">
      <is>
        <t>CENTRO DE ASSISTENCIA A PESSOAS E EMPRESAS</t>
      </is>
    </oc>
    <nc r="B100" t="inlineStr">
      <is>
        <t>CIAPE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35" sId="1">
    <nc r="F100" t="inlineStr">
      <is>
        <t>Presumido</t>
      </is>
    </nc>
  </rcc>
  <rcc rId="2136" sId="2" xfDxf="1" dxf="1">
    <oc r="B155" t="inlineStr">
      <is>
        <t>CENTRO DE ASSISTENCIA A PESSOAS E EMPRESAS</t>
      </is>
    </oc>
    <nc r="B155" t="inlineStr">
      <is>
        <t>CIAPE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37" sId="1">
    <nc r="F101" t="inlineStr">
      <is>
        <t>Simples</t>
      </is>
    </nc>
  </rcc>
  <rcc rId="2138" sId="1" xfDxf="1" dxf="1">
    <oc r="B101" t="inlineStr">
      <is>
        <t xml:space="preserve">VANTUIL TERRAPLANAGEM </t>
      </is>
    </oc>
    <nc r="B101" t="inlineStr">
      <is>
        <t>VANTUIL</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39" sId="1" xfDxf="1" s="1" dxf="1">
    <nc r="D101" t="inlineStr">
      <is>
        <t>17.330.220/0001-86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40" sId="2" odxf="1" dxf="1">
    <oc r="B157" t="inlineStr">
      <is>
        <t xml:space="preserve">VANTUIL TERRAPLANAGEM </t>
      </is>
    </oc>
    <nc r="B157" t="inlineStr">
      <is>
        <t>VANTUIL</t>
      </is>
    </nc>
    <odxf>
      <font>
        <sz val="10"/>
        <color auto="1"/>
      </font>
      <fill>
        <patternFill patternType="none">
          <bgColor indexed="65"/>
        </patternFill>
      </fill>
    </odxf>
    <ndxf>
      <font>
        <sz val="9"/>
        <color auto="1"/>
        <name val="Arial"/>
        <scheme val="none"/>
      </font>
      <fill>
        <patternFill patternType="solid">
          <bgColor theme="0"/>
        </patternFill>
      </fill>
    </ndxf>
  </rcc>
  <rcc rId="2141" sId="1" xfDxf="1" s="1" dxf="1">
    <nc r="D102" t="inlineStr">
      <is>
        <t>17.331.397/0001-05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42" sId="1" xfDxf="1" dxf="1">
    <oc r="B102" t="inlineStr">
      <is>
        <t>PL INSTALAÇÕES</t>
      </is>
    </oc>
    <nc r="B102" t="inlineStr">
      <is>
        <t>PL INSTALACOES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43" sId="1">
    <nc r="F102" t="inlineStr">
      <is>
        <t>Simples</t>
      </is>
    </nc>
  </rcc>
  <rcc rId="2144" sId="2" odxf="1" dxf="1">
    <oc r="B158" t="inlineStr">
      <is>
        <t>PL INSTALAÇÕES ELETRICAS</t>
      </is>
    </oc>
    <nc r="B158" t="inlineStr">
      <is>
        <t>PL INSTALACOES</t>
      </is>
    </nc>
    <odxf>
      <font>
        <sz val="10"/>
        <color auto="1"/>
      </font>
      <fill>
        <patternFill patternType="none">
          <bgColor indexed="65"/>
        </patternFill>
      </fill>
    </odxf>
    <ndxf>
      <font>
        <sz val="8"/>
        <color auto="1"/>
        <name val="Arial"/>
        <scheme val="none"/>
      </font>
      <fill>
        <patternFill patternType="solid">
          <bgColor theme="0"/>
        </patternFill>
      </fill>
    </ndxf>
  </rcc>
  <rcc rId="2145" sId="1" xfDxf="1" s="1" dxf="1">
    <nc r="D103" t="inlineStr">
      <is>
        <t>15.749.928/0001-40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46" sId="1">
    <nc r="F103" t="inlineStr">
      <is>
        <t>Simples</t>
      </is>
    </nc>
  </rcc>
  <rcc rId="2147" sId="1" xfDxf="1" dxf="1">
    <oc r="B103" t="inlineStr">
      <is>
        <t>INSTITUTO BRASILEIRO DE EDUCAÇÃO HOLISTICA</t>
      </is>
    </oc>
    <nc r="B103" t="inlineStr">
      <is>
        <t>INSTITUTO BRASILEIRO</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2148" sId="2" ref="A159:XFD159"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149" sId="2">
    <nc r="A159">
      <v>340</v>
    </nc>
  </rcc>
  <rcc rId="2150" sId="2" xfDxf="1" dxf="1">
    <nc r="B159" t="inlineStr">
      <is>
        <t>INSTITUTO BRASILEIRO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51" sId="1">
    <nc r="F104" t="inlineStr">
      <is>
        <t>Simples</t>
      </is>
    </nc>
  </rcc>
  <rfmt sheetId="1" xfDxf="1" sqref="B104"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152" sId="1" xfDxf="1" s="1" dxf="1">
    <nc r="D104" t="inlineStr">
      <is>
        <t>01.649.240/0001-84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53" sId="1">
    <nc r="F105" t="inlineStr">
      <is>
        <t>Simples</t>
      </is>
    </nc>
  </rcc>
  <rcc rId="2154" sId="1" xfDxf="1" dxf="1">
    <oc r="B105" t="inlineStr">
      <is>
        <t xml:space="preserve">HF-SIDE ADMINISTRADORA E CORRETORA </t>
      </is>
    </oc>
    <nc r="B105" t="inlineStr">
      <is>
        <t>HF SIDE</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55" sId="1" xfDxf="1" s="1" dxf="1">
    <nc r="D105" t="inlineStr">
      <is>
        <t>03.081.170/0001-36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56" sId="2" odxf="1" dxf="1">
    <oc r="B161" t="inlineStr">
      <is>
        <t xml:space="preserve">HF-SIDE ADMINISTRADORA E CORRETORA </t>
      </is>
    </oc>
    <nc r="B161" t="inlineStr">
      <is>
        <t>HF SIDE</t>
      </is>
    </nc>
    <odxf>
      <font>
        <sz val="10"/>
        <color auto="1"/>
      </font>
      <fill>
        <patternFill patternType="none">
          <bgColor indexed="65"/>
        </patternFill>
      </fill>
    </odxf>
    <ndxf>
      <font>
        <sz val="8"/>
        <color auto="1"/>
        <name val="Arial"/>
        <scheme val="none"/>
      </font>
      <fill>
        <patternFill patternType="solid">
          <bgColor theme="0"/>
        </patternFill>
      </fill>
    </ndxf>
  </rcc>
  <rcc rId="2157" sId="1">
    <nc r="F106" t="inlineStr">
      <is>
        <t>Presumido</t>
      </is>
    </nc>
  </rcc>
  <rcc rId="2158" sId="1" xfDxf="1" dxf="1">
    <oc r="B106" t="inlineStr">
      <is>
        <t xml:space="preserve">PRIME TECH REPRESENTACOES FEDERAÇÃO DO COMERCIO/JANEIRO 17.570.395/0001-60  </t>
      </is>
    </oc>
    <nc r="B106" t="inlineStr">
      <is>
        <t>PRIME TECH</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59" sId="1" xfDxf="1" s="1" dxf="1">
    <nc r="D106" t="inlineStr">
      <is>
        <t>17.570.395/0001-60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60" sId="2" odxf="1" dxf="1">
    <oc r="B164" t="inlineStr">
      <is>
        <t>PRIME TECH REPRESENTAÇÕES</t>
      </is>
    </oc>
    <nc r="B164" t="inlineStr">
      <is>
        <t>PRIME TECH</t>
      </is>
    </nc>
    <odxf>
      <font>
        <sz val="10"/>
        <color auto="1"/>
      </font>
      <fill>
        <patternFill patternType="none">
          <bgColor indexed="65"/>
        </patternFill>
      </fill>
    </odxf>
    <ndxf>
      <font>
        <sz val="9"/>
        <color auto="1"/>
        <name val="Arial"/>
        <scheme val="none"/>
      </font>
      <fill>
        <patternFill patternType="solid">
          <bgColor theme="0"/>
        </patternFill>
      </fill>
    </ndxf>
  </rcc>
  <rfmt sheetId="1" sqref="B107" start="0" length="0">
    <dxf>
      <font>
        <sz val="8"/>
        <color auto="1"/>
      </font>
    </dxf>
  </rfmt>
  <rcc rId="2161" sId="1" xfDxf="1" s="1" dxf="1">
    <nc r="D107" t="inlineStr">
      <is>
        <t>11.105.223/0001-30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62" sId="1" xfDxf="1" s="1" dxf="1">
    <nc r="E107" t="inlineStr">
      <is>
        <t xml:space="preserve"> BARES/MAIO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63" sId="1">
    <nc r="F107" t="inlineStr">
      <is>
        <t>Simples</t>
      </is>
    </nc>
  </rcc>
  <rcc rId="2164" sId="1" xfDxf="1" dxf="1">
    <oc r="B107" t="inlineStr">
      <is>
        <t>RESIDENCIAL GERIATRICO MATRIZ     BARES/MAIO                                       11.105.223/0001-30</t>
      </is>
    </oc>
    <nc r="B107" t="inlineStr">
      <is>
        <t>REGAPI MATRIZ</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107">
    <dxf>
      <alignment horizontal="center" readingOrder="0"/>
    </dxf>
  </rfmt>
  <rfmt sheetId="1" sqref="B107">
    <dxf>
      <alignment vertical="center" readingOrder="0"/>
    </dxf>
  </rfmt>
  <rfmt sheetId="1" sqref="B107">
    <dxf>
      <alignment horizontal="left" readingOrder="0"/>
    </dxf>
  </rfmt>
  <rcc rId="2165" sId="1" xfDxf="1" s="1" dxf="1">
    <nc r="D108" t="inlineStr">
      <is>
        <t>09.400.376/0001-68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66" sId="1" xfDxf="1" s="1" dxf="1">
    <nc r="E108" t="inlineStr">
      <is>
        <t>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67" sId="1">
    <nc r="F108" t="inlineStr">
      <is>
        <t>Simples</t>
      </is>
    </nc>
  </rcc>
  <rcc rId="2168" sId="1" xfDxf="1" dxf="1">
    <oc r="B108" t="inlineStr">
      <is>
        <t>Luciane de Souza Silva - ME  simples 09.400.376/0001-68    Data base: maio</t>
      </is>
    </oc>
    <nc r="B108" t="inlineStr">
      <is>
        <t>DELICK MATRIZ</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69" sId="2" xfDxf="1" dxf="1">
    <oc r="B168" t="inlineStr">
      <is>
        <t>LUCIANE DE SOUZA SILVA (DELICK)</t>
      </is>
    </oc>
    <nc r="B168" t="inlineStr">
      <is>
        <t>DELICK MATRIZ</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70" sId="1" xfDxf="1" s="1" dxf="1">
    <nc r="D109" t="inlineStr">
      <is>
        <t>11.937.120/0001-36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71" sId="1" xfDxf="1" dxf="1">
    <oc r="B109" t="inlineStr">
      <is>
        <t>DIFUSAO LTDA</t>
      </is>
    </oc>
    <nc r="B109" t="inlineStr">
      <is>
        <t>DIFUSÃO LTDA - ME</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172" sId="1">
    <nc r="F109" t="inlineStr">
      <is>
        <t>Simples</t>
      </is>
    </nc>
  </rcc>
  <rcc rId="2173" sId="2" xfDxf="1" dxf="1">
    <oc r="B170" t="inlineStr">
      <is>
        <t>DIFUSÃO LTDA</t>
      </is>
    </oc>
    <nc r="B170" t="inlineStr">
      <is>
        <t>DIFUSÃO LTDA - ME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74" sId="1" xfDxf="1" dxf="1">
    <oc r="B110" t="inlineStr">
      <is>
        <t>HIBISCO COMUNICAÇÃO</t>
      </is>
    </oc>
    <nc r="B110" t="inlineStr">
      <is>
        <t>HIBISCO COMUNICACAO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75" sId="1">
    <nc r="F110" t="inlineStr">
      <is>
        <t>Simples</t>
      </is>
    </nc>
  </rcc>
  <rcc rId="2176" sId="1" xfDxf="1" s="1" dxf="1">
    <nc r="D110" t="inlineStr">
      <is>
        <t>18.142.563/0001-80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77" sId="2" odxf="1" dxf="1">
    <oc r="B175" t="inlineStr">
      <is>
        <t>HIBISCO COMUNICAÇÃO</t>
      </is>
    </oc>
    <nc r="B175" t="inlineStr">
      <is>
        <t>HIBISCO COMUNICACAO</t>
      </is>
    </nc>
    <odxf>
      <font>
        <sz val="10"/>
        <color auto="1"/>
      </font>
      <fill>
        <patternFill patternType="none">
          <bgColor indexed="65"/>
        </patternFill>
      </fill>
    </odxf>
    <ndxf>
      <font>
        <sz val="10"/>
        <color auto="1"/>
        <name val="Arial"/>
        <scheme val="none"/>
      </font>
      <fill>
        <patternFill patternType="solid">
          <bgColor theme="0"/>
        </patternFill>
      </fill>
    </ndxf>
  </rcc>
  <rcc rId="2178" sId="1" xfDxf="1" s="1" dxf="1">
    <nc r="E111" t="inlineStr">
      <is>
        <t xml:space="preserve">sind:saúde data base:maio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79" sId="1" xfDxf="1" s="1" dxf="1">
    <nc r="D111" t="inlineStr">
      <is>
        <t>18.298.987/0001-38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80" sId="1">
    <nc r="F111" t="inlineStr">
      <is>
        <t>Simples</t>
      </is>
    </nc>
  </rcc>
  <rcc rId="2181" sId="1" xfDxf="1" dxf="1">
    <oc r="B111" t="inlineStr">
      <is>
        <t>CENTRO DE CLINICAS PROFESSOR EDISON STECCA (CENCEODONTO) sind:saúde data base:maio  CNPJ:18.298.987/0001-38</t>
      </is>
    </oc>
    <nc r="B111" t="inlineStr">
      <is>
        <t>CENCEODONTO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82" sId="2" xfDxf="1" dxf="1">
    <oc r="B177" t="inlineStr">
      <is>
        <t>CENTRO DE CLINICAS PROF EDISON STECCA (CENCEODONTO)</t>
      </is>
    </oc>
    <nc r="B177" t="inlineStr">
      <is>
        <t>CENCEODONTO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183" sId="1">
    <nc r="F112" t="inlineStr">
      <is>
        <t>Simples</t>
      </is>
    </nc>
  </rcc>
  <rcc rId="2184" sId="1" xfDxf="1" dxf="1">
    <oc r="B112" t="inlineStr">
      <is>
        <t>M&amp;T CONSTRUÇÃO</t>
      </is>
    </oc>
    <nc r="B112" t="inlineStr">
      <is>
        <t>M&amp;T CONSTRUCAO LTDA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85" sId="1" xfDxf="1" s="1" dxf="1">
    <nc r="D112" t="inlineStr">
      <is>
        <t>18.531.623/0001-56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86" sId="2" odxf="1" dxf="1">
    <oc r="B182" t="inlineStr">
      <is>
        <t>M&amp;T CONSTRUÇÃO</t>
      </is>
    </oc>
    <nc r="B182" t="inlineStr">
      <is>
        <t>M&amp;T CONSTRUCAO LTDA</t>
      </is>
    </nc>
    <odxf>
      <font>
        <sz val="10"/>
        <color auto="1"/>
      </font>
      <fill>
        <patternFill patternType="none">
          <bgColor indexed="65"/>
        </patternFill>
      </fill>
    </odxf>
    <ndxf>
      <font>
        <sz val="8"/>
        <color auto="1"/>
        <name val="Arial"/>
        <scheme val="none"/>
      </font>
      <fill>
        <patternFill patternType="solid">
          <bgColor theme="0"/>
        </patternFill>
      </fill>
    </ndxf>
  </rcc>
  <rcc rId="2187" sId="1" xfDxf="1" s="1" dxf="1">
    <nc r="D113" t="inlineStr">
      <is>
        <t>18.492.296/0001-70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113" start="0" length="0">
    <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dxf>
  </rfmt>
  <rcc rId="2188" sId="1">
    <nc r="F113" t="inlineStr">
      <is>
        <t>Simples</t>
      </is>
    </nc>
  </rcc>
  <rcc rId="2189" sId="1" xfDxf="1" s="1" dxf="1">
    <nc r="E114" t="inlineStr">
      <is>
        <t>FEDERAÇÃO DO COM. 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90" sId="1">
    <nc r="F114" t="inlineStr">
      <is>
        <t>Simples</t>
      </is>
    </nc>
  </rcc>
  <rfmt sheetId="1" xfDxf="1" sqref="B114"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dxf>
  </rfmt>
  <rcc rId="2191" sId="1" xfDxf="1" s="1" dxf="1">
    <nc r="D114" t="inlineStr">
      <is>
        <t>18.832.880/0001-28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92" sId="1">
    <oc r="B114" t="inlineStr">
      <is>
        <t>CARTA CURINGA JF                                       18.832.880/0001.28             FEDERAÇÃO DO COM. Data Base: JANEIRO</t>
      </is>
    </oc>
    <nc r="B114" t="inlineStr">
      <is>
        <t>CARTA CURINGA JUIZ DE FORA</t>
      </is>
    </nc>
  </rcc>
  <rcc rId="2193" sId="1">
    <nc r="F115" t="inlineStr">
      <is>
        <t>Simples</t>
      </is>
    </nc>
  </rcc>
  <rcc rId="2194" sId="1" xfDxf="1" dxf="1">
    <oc r="B115" t="inlineStr">
      <is>
        <t>FBL DIGITAL LTDA</t>
      </is>
    </oc>
    <nc r="B115" t="inlineStr">
      <is>
        <t>FBL COMUNICACAO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195" sId="1" xfDxf="1" s="1" dxf="1">
    <nc r="D115" t="inlineStr">
      <is>
        <t>19.082.616/0001-87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96" sId="2" odxf="1" dxf="1">
    <oc r="B188" t="inlineStr">
      <is>
        <t>FBL DIGITAL LTDA</t>
      </is>
    </oc>
    <nc r="B188" t="inlineStr">
      <is>
        <t>FBL COMUNICACAO</t>
      </is>
    </nc>
    <odxf>
      <font>
        <sz val="10"/>
        <color auto="1"/>
      </font>
      <fill>
        <patternFill patternType="none">
          <bgColor indexed="65"/>
        </patternFill>
      </fill>
    </odxf>
    <ndxf>
      <font>
        <sz val="10"/>
        <color auto="1"/>
        <name val="Arial"/>
        <scheme val="none"/>
      </font>
      <fill>
        <patternFill patternType="solid">
          <bgColor theme="0"/>
        </patternFill>
      </fill>
    </ndxf>
  </rcc>
  <rcc rId="2197" sId="1">
    <nc r="D116" t="inlineStr">
      <is>
        <t>19.108.127/0001-57</t>
      </is>
    </nc>
  </rcc>
  <rcc rId="2198" sId="1" xfDxf="1" s="1" dxf="1">
    <nc r="E116" t="inlineStr">
      <is>
        <t>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199" sId="1">
    <nc r="F116" t="inlineStr">
      <is>
        <t>Simples</t>
      </is>
    </nc>
  </rcc>
  <rcc rId="2200" sId="1" xfDxf="1" dxf="1">
    <oc r="B116" t="inlineStr">
      <is>
        <t xml:space="preserve">TK DOCERIA                           Simples 19.108.127/0001-57        Data base: maio </t>
      </is>
    </oc>
    <nc r="B116" t="inlineStr">
      <is>
        <t>TK DOCERIA LTDA - ME</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01" sId="1" xfDxf="1" s="1" dxf="1">
    <nc r="D117" t="inlineStr">
      <is>
        <t>19.726.624/0001-19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02" sId="1" xfDxf="1" dxf="1">
    <oc r="B117" t="inlineStr">
      <is>
        <t>SOUZA SILVA INSTALAÇÕES ELÉTRICAS</t>
      </is>
    </oc>
    <nc r="B117" t="inlineStr">
      <is>
        <t>SOUZA SILVA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03" sId="1">
    <nc r="F117" t="inlineStr">
      <is>
        <t>Simples</t>
      </is>
    </nc>
  </rcc>
  <rcc rId="2204" sId="2" odxf="1" dxf="1">
    <oc r="B194" t="inlineStr">
      <is>
        <t>SOUZA SILVA INSTALAÇÕES ELETRICAS</t>
      </is>
    </oc>
    <nc r="B194" t="inlineStr">
      <is>
        <t>SOUZA SILVA</t>
      </is>
    </nc>
    <odxf>
      <font>
        <sz val="10"/>
        <color auto="1"/>
      </font>
      <fill>
        <patternFill patternType="none">
          <bgColor indexed="65"/>
        </patternFill>
      </fill>
    </odxf>
    <ndxf>
      <font>
        <sz val="9"/>
        <color auto="1"/>
        <name val="Arial"/>
        <scheme val="none"/>
      </font>
      <fill>
        <patternFill patternType="solid">
          <bgColor theme="0"/>
        </patternFill>
      </fill>
    </ndxf>
  </rcc>
  <rcc rId="2205" sId="1">
    <nc r="F118" t="inlineStr">
      <is>
        <t>Presumido</t>
      </is>
    </nc>
  </rcc>
  <rcc rId="2206" sId="1" xfDxf="1" dxf="1">
    <oc r="B118" t="inlineStr">
      <is>
        <t xml:space="preserve">RR CONSTRUCOES E REPRESENTACOES LTDA - ME PRESUMIDO </t>
      </is>
    </oc>
    <nc r="B118" t="inlineStr">
      <is>
        <t>RR CONSTRUCOES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07" sId="1" xfDxf="1" s="1" dxf="1">
    <nc r="D118" t="inlineStr">
      <is>
        <t>18.190.619/0001-71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08" sId="2" odxf="1" dxf="1">
    <oc r="B196" t="inlineStr">
      <is>
        <t>CRECON CONSTRUCOES LTDA - ME</t>
      </is>
    </oc>
    <nc r="B196" t="inlineStr">
      <is>
        <t>RR CONSTRUCOES</t>
      </is>
    </nc>
    <odxf>
      <font>
        <sz val="10"/>
        <color auto="1"/>
      </font>
      <fill>
        <patternFill patternType="none">
          <bgColor indexed="65"/>
        </patternFill>
      </fill>
    </odxf>
    <ndxf>
      <font>
        <sz val="9"/>
        <color auto="1"/>
        <name val="Arial"/>
        <scheme val="none"/>
      </font>
      <fill>
        <patternFill patternType="solid">
          <bgColor theme="0"/>
        </patternFill>
      </fill>
    </ndxf>
  </rcc>
  <rcc rId="2209" sId="1" xfDxf="1" s="1" dxf="1">
    <nc r="D119" t="inlineStr">
      <is>
        <t>19.113.043/0001-01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10" sId="1">
    <nc r="F119" t="inlineStr">
      <is>
        <t>Simples</t>
      </is>
    </nc>
  </rcc>
  <rcc rId="2211" sId="1">
    <nc r="F120" t="inlineStr">
      <is>
        <t>Simples</t>
      </is>
    </nc>
  </rcc>
  <rcc rId="2212" sId="1" xfDxf="1" dxf="1">
    <oc r="B120" t="inlineStr">
      <is>
        <t xml:space="preserve">PATRICIA BASTOS ARQUITETURA </t>
      </is>
    </oc>
    <nc r="B120" t="inlineStr">
      <is>
        <t>PATRICIA BASTOS</t>
      </is>
    </nc>
    <ndxf>
      <font>
        <sz val="9"/>
        <color auto="1"/>
        <name val="Arial"/>
        <scheme val="none"/>
      </font>
      <fill>
        <patternFill patternType="solid">
          <bgColor theme="9" tint="0.59999389629810485"/>
        </patternFill>
      </fill>
      <alignment horizontal="left" vertical="center" wrapText="1" readingOrder="0"/>
      <border outline="0">
        <left style="thin">
          <color indexed="64"/>
        </left>
        <right style="thin">
          <color indexed="64"/>
        </right>
        <top style="thin">
          <color indexed="64"/>
        </top>
        <bottom style="thin">
          <color indexed="64"/>
        </bottom>
      </border>
    </ndxf>
  </rcc>
  <rcc rId="2213" sId="1" xfDxf="1" s="1" dxf="1">
    <nc r="D120" t="inlineStr">
      <is>
        <t>18.847.341/0001-62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14" sId="2" odxf="1" dxf="1">
    <oc r="B204" t="inlineStr">
      <is>
        <t xml:space="preserve">PATRICIA BASTOS ARQUITETURA </t>
      </is>
    </oc>
    <nc r="B204" t="inlineStr">
      <is>
        <t>PATRICIA BASTOS</t>
      </is>
    </nc>
    <odxf>
      <font>
        <sz val="10"/>
        <color auto="1"/>
      </font>
      <fill>
        <patternFill patternType="none">
          <bgColor indexed="65"/>
        </patternFill>
      </fill>
    </odxf>
    <ndxf>
      <font>
        <sz val="9"/>
        <color auto="1"/>
        <name val="Arial"/>
        <scheme val="none"/>
      </font>
      <fill>
        <patternFill patternType="solid">
          <bgColor theme="9" tint="0.59999389629810485"/>
        </patternFill>
      </fill>
    </ndxf>
  </rcc>
  <rcc rId="2215" sId="1">
    <nc r="F121" t="inlineStr">
      <is>
        <t>Presumido</t>
      </is>
    </nc>
  </rcc>
  <rcc rId="2216" sId="1" xfDxf="1" dxf="1">
    <oc r="B121" t="inlineStr">
      <is>
        <t xml:space="preserve">BEERTHOVEN  PRESUMIDO </t>
      </is>
    </oc>
    <nc r="B121" t="inlineStr">
      <is>
        <t>BEERTHOVEN</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17" sId="1" xfDxf="1" s="1" dxf="1">
    <nc r="D121" t="inlineStr">
      <is>
        <t>19.298.902/0001-84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18" sId="1" xfDxf="1" s="1" dxf="1">
    <nc r="D122" t="inlineStr">
      <is>
        <t>17.786.821/0001-06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19" sId="1">
    <nc r="F122" t="inlineStr">
      <is>
        <t>Simples</t>
      </is>
    </nc>
  </rcc>
  <rcc rId="2220" sId="1" xfDxf="1" dxf="1">
    <oc r="B122" t="inlineStr">
      <is>
        <t xml:space="preserve">L2 ARQUITETURA </t>
      </is>
    </oc>
    <nc r="B122" t="inlineStr">
      <is>
        <t>L2 ARQUITETURA LTDA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21" sId="2" xfDxf="1" dxf="1">
    <oc r="B206" t="inlineStr">
      <is>
        <t xml:space="preserve">L2 ARQUITETURA </t>
      </is>
    </oc>
    <nc r="B206" t="inlineStr">
      <is>
        <t>L2 ARQUITETURA LTDA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1" sqref="E123"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222" sId="1">
    <nc r="E123" t="inlineStr">
      <is>
        <t>SIND COMÉRCIO DATA BASE:Outubro</t>
      </is>
    </nc>
  </rcc>
  <rcc rId="2223" sId="1" xfDxf="1" dxf="1">
    <oc r="B123" t="inlineStr">
      <is>
        <t>OURO CAR MULTIMARCAS COMERCIO E REVENDA DE VEICULOS LTDA( FRDG)SIND: COMÉRCIO DATA BASE:Outubro</t>
      </is>
    </oc>
    <nc r="B123" t="inlineStr">
      <is>
        <t>OURO CAR MULTIMARCAS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24" sId="1" xfDxf="1" s="1" dxf="1">
    <nc r="D123" t="inlineStr">
      <is>
        <t>19.454.119/0001-62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25" sId="2" odxf="1" dxf="1">
    <oc r="B207" t="inlineStr">
      <is>
        <t xml:space="preserve">OURO CAR </t>
      </is>
    </oc>
    <nc r="B207" t="inlineStr">
      <is>
        <t>OURO CAR MULTIMARCAS</t>
      </is>
    </nc>
    <odxf>
      <font>
        <sz val="10"/>
        <color auto="1"/>
      </font>
      <fill>
        <patternFill patternType="none">
          <bgColor indexed="65"/>
        </patternFill>
      </fill>
    </odxf>
    <ndxf>
      <font>
        <sz val="8"/>
        <color auto="1"/>
        <name val="Arial"/>
        <scheme val="none"/>
      </font>
      <fill>
        <patternFill patternType="solid">
          <bgColor theme="0"/>
        </patternFill>
      </fill>
    </ndxf>
  </rcc>
  <rcc rId="2226" sId="1" xfDxf="1" s="1" dxf="1">
    <nc r="E124" t="inlineStr">
      <is>
        <t>SIND: CONFECÇÕES DO VESTUÁRIO DATA BASE: FEVEREIRO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E124" start="0" length="2147483647">
    <dxf>
      <font>
        <sz val="8"/>
      </font>
    </dxf>
  </rfmt>
  <rfmt sheetId="1" sqref="E124" start="0" length="2147483647">
    <dxf>
      <font>
        <sz val="7"/>
      </font>
    </dxf>
  </rfmt>
  <rcc rId="2227" sId="1" xfDxf="1" s="1" dxf="1">
    <nc r="D124" t="inlineStr">
      <is>
        <t xml:space="preserve">19.523.385/000108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28" sId="1" xfDxf="1" dxf="1">
    <oc r="B124" t="inlineStr">
      <is>
        <t>MAICO B. JAQUEL  19.523.385/000108      SIND: CONFECÇÕES DO VESTUÁRIO                               DATA BASE: FEVEREIRO</t>
      </is>
    </oc>
    <nc r="B124" t="inlineStr">
      <is>
        <t>MAICO B. JAQUEL - ME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229" sId="1">
    <nc r="F124" t="inlineStr">
      <is>
        <t>Simples</t>
      </is>
    </nc>
  </rcc>
  <rcc rId="2230" sId="2" odxf="1" dxf="1">
    <oc r="B208" t="inlineStr">
      <is>
        <t>MAICO B. JAQUEL</t>
      </is>
    </oc>
    <nc r="B208" t="inlineStr">
      <is>
        <t>MAICO B. JAQUEL - ME</t>
      </is>
    </nc>
    <odxf>
      <font>
        <sz val="10"/>
        <color auto="1"/>
      </font>
      <fill>
        <patternFill patternType="none">
          <bgColor indexed="65"/>
        </patternFill>
      </fill>
      <protection locked="1"/>
    </odxf>
    <ndxf>
      <font>
        <sz val="9"/>
        <color auto="1"/>
        <name val="Arial"/>
        <scheme val="none"/>
      </font>
      <fill>
        <patternFill patternType="solid">
          <bgColor theme="0"/>
        </patternFill>
      </fill>
      <protection locked="0"/>
    </ndxf>
  </rcc>
  <rcc rId="2231" sId="1" xfDxf="1" dxf="1">
    <oc r="B125" t="inlineStr">
      <is>
        <t>SOMAR BRASIL</t>
      </is>
    </oc>
    <nc r="B125" t="inlineStr">
      <is>
        <t>SOMMAR BRASIL EIRELI</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32" sId="1">
    <nc r="F125" t="inlineStr">
      <is>
        <t>Simples</t>
      </is>
    </nc>
  </rcc>
  <rcc rId="2233" sId="1" xfDxf="1" s="1" dxf="1">
    <nc r="D125" t="inlineStr">
      <is>
        <t>17.845.695/0001-05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34" sId="2" odxf="1" dxf="1">
    <oc r="B209" t="inlineStr">
      <is>
        <t>SOMMAR BRASIL</t>
      </is>
    </oc>
    <nc r="B209" t="inlineStr">
      <is>
        <t>SOMMAR BRASIL EIRELI</t>
      </is>
    </nc>
    <odxf>
      <font>
        <sz val="10"/>
        <color auto="1"/>
      </font>
      <fill>
        <patternFill patternType="none">
          <bgColor indexed="65"/>
        </patternFill>
      </fill>
    </odxf>
    <ndxf>
      <font>
        <sz val="10"/>
        <color auto="1"/>
        <name val="Arial"/>
        <scheme val="none"/>
      </font>
      <fill>
        <patternFill patternType="solid">
          <bgColor theme="0"/>
        </patternFill>
      </fill>
    </ndxf>
  </rcc>
  <rcc rId="2235" sId="1">
    <nc r="F126" t="inlineStr">
      <is>
        <t>Simples</t>
      </is>
    </nc>
  </rcc>
  <rcc rId="2236" sId="1" xfDxf="1" dxf="1">
    <oc r="B126" t="inlineStr">
      <is>
        <t>GLOBAL CENTER COMERCIO</t>
      </is>
    </oc>
    <nc r="B126" t="inlineStr">
      <is>
        <t>GLOBAL CENTER</t>
      </is>
    </nc>
    <ndxf>
      <font>
        <sz val="9"/>
        <color auto="1"/>
        <name val="Arial"/>
        <scheme val="none"/>
      </font>
      <fill>
        <patternFill patternType="solid">
          <bgColor theme="9" tint="0.59999389629810485"/>
        </patternFill>
      </fill>
      <alignment horizontal="left" vertical="center" wrapText="1" readingOrder="0"/>
      <border outline="0">
        <left style="thin">
          <color indexed="64"/>
        </left>
        <right style="thin">
          <color indexed="64"/>
        </right>
        <top style="thin">
          <color indexed="64"/>
        </top>
        <bottom style="thin">
          <color indexed="64"/>
        </bottom>
      </border>
    </ndxf>
  </rcc>
  <rcc rId="2237" sId="1" xfDxf="1" s="1" dxf="1">
    <nc r="D126" t="inlineStr">
      <is>
        <t>17.364.839/0001-01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38" sId="2" odxf="1" dxf="1">
    <oc r="B210" t="inlineStr">
      <is>
        <t>GLOBAL CENTER COMERCIO</t>
      </is>
    </oc>
    <nc r="B210" t="inlineStr">
      <is>
        <t>GLOBAL CENTER</t>
      </is>
    </nc>
    <odxf>
      <font>
        <sz val="10"/>
        <color auto="1"/>
      </font>
      <fill>
        <patternFill patternType="none">
          <bgColor indexed="65"/>
        </patternFill>
      </fill>
    </odxf>
    <ndxf>
      <font>
        <sz val="9"/>
        <color auto="1"/>
        <name val="Arial"/>
        <scheme val="none"/>
      </font>
      <fill>
        <patternFill patternType="solid">
          <bgColor theme="9" tint="0.59999389629810485"/>
        </patternFill>
      </fill>
    </ndxf>
  </rcc>
  <rcc rId="2239" sId="1">
    <nc r="F127" t="inlineStr">
      <is>
        <t>Simples</t>
      </is>
    </nc>
  </rcc>
  <rcc rId="2240" sId="1" xfDxf="1" dxf="1">
    <oc r="B127" t="inlineStr">
      <is>
        <t>AMCA CONSULTORES ASSOCIADOS</t>
      </is>
    </oc>
    <nc r="B127" t="inlineStr">
      <is>
        <t>AMCA CONSULTORES</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41" sId="1" xfDxf="1" s="1" dxf="1">
    <nc r="D127" t="inlineStr">
      <is>
        <t>19.776.751/0001-22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42" sId="2" odxf="1" dxf="1">
    <oc r="B211" t="inlineStr">
      <is>
        <t>AMCA CONSULTORES ASSOCIADOS</t>
      </is>
    </oc>
    <nc r="B211" t="inlineStr">
      <is>
        <t>AMCA CONSULTORES</t>
      </is>
    </nc>
    <odxf>
      <font>
        <sz val="10"/>
        <color auto="1"/>
      </font>
      <fill>
        <patternFill patternType="none">
          <bgColor indexed="65"/>
        </patternFill>
      </fill>
    </odxf>
    <ndxf>
      <font>
        <sz val="10"/>
        <color auto="1"/>
        <name val="Arial"/>
        <scheme val="none"/>
      </font>
      <fill>
        <patternFill patternType="solid">
          <bgColor theme="0"/>
        </patternFill>
      </fill>
    </ndxf>
  </rcc>
  <rcc rId="2243" sId="1" xfDxf="1" s="1" dxf="1">
    <nc r="E128" t="inlineStr">
      <is>
        <t xml:space="preserve">sind: Sincor Data Base: Janeiro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44" sId="1" xfDxf="1" s="1" dxf="1">
    <nc r="D128" t="inlineStr">
      <is>
        <t xml:space="preserve"> 38.652.087/0001-54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128"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245" sId="1">
    <nc r="F128" t="inlineStr">
      <is>
        <t>Simples</t>
      </is>
    </nc>
  </rcc>
  <rfmt sheetId="1" xfDxf="1" sqref="B128"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246" sId="1" odxf="1" dxf="1">
    <oc r="B128" t="inlineStr">
      <is>
        <t>PROTEGE ADMINISTRADORA E CORRETORA DE SEGUROS sind: Sincor Data Base: Janeiro  CNPJ: 38.652.087/0001-54</t>
      </is>
    </oc>
    <nc r="B128" t="inlineStr">
      <is>
        <t>PROTEGE ADMINISTRADORA E CORRETORA DE SEGUROS</t>
      </is>
    </nc>
    <ndxf>
      <font>
        <sz val="10"/>
        <color auto="1"/>
        <name val="Arial"/>
        <scheme val="minor"/>
      </font>
      <fill>
        <patternFill patternType="none">
          <bgColor indexed="65"/>
        </patternFill>
      </fill>
    </ndxf>
  </rcc>
  <rcc rId="2247" sId="1">
    <nc r="F129" t="inlineStr">
      <is>
        <t>Simples</t>
      </is>
    </nc>
  </rcc>
  <rcc rId="2248" sId="1" xfDxf="1" dxf="1">
    <oc r="B129" t="inlineStr">
      <is>
        <t>CALU COMÉRCIO DE ROUPAS</t>
      </is>
    </oc>
    <nc r="B129" t="inlineStr">
      <is>
        <t>CALU COMERCIO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49" sId="1" xfDxf="1" s="1" dxf="1">
    <nc r="D129" t="inlineStr">
      <is>
        <t>19.809.682/0001-06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50" sId="2" odxf="1" dxf="1">
    <oc r="B213" t="inlineStr">
      <is>
        <t>CALU COMÉRCIO DE ROUPAS</t>
      </is>
    </oc>
    <nc r="B213" t="inlineStr">
      <is>
        <t>CALU COMERCIO</t>
      </is>
    </nc>
    <odxf>
      <font>
        <sz val="10"/>
        <color auto="1"/>
      </font>
      <fill>
        <patternFill patternType="none">
          <bgColor indexed="65"/>
        </patternFill>
      </fill>
    </odxf>
    <ndxf>
      <font>
        <sz val="10"/>
        <color auto="1"/>
        <name val="Arial"/>
        <scheme val="none"/>
      </font>
      <fill>
        <patternFill patternType="solid">
          <bgColor theme="0"/>
        </patternFill>
      </fill>
    </ndxf>
  </rcc>
  <rcc rId="2251" sId="1" xfDxf="1" s="1" dxf="1">
    <nc r="D130" t="inlineStr">
      <is>
        <t>19.924.465/0001-67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52" sId="1">
    <nc r="F130" t="inlineStr">
      <is>
        <t>Simples</t>
      </is>
    </nc>
  </rcc>
  <rcc rId="2253" sId="1" xfDxf="1" dxf="1">
    <oc r="B130" t="inlineStr">
      <is>
        <t xml:space="preserve">MARCELLO PEPE TREINAMENTOS </t>
      </is>
    </oc>
    <nc r="B130" t="inlineStr">
      <is>
        <t>MARCELLO PEPE</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54" sId="2" xfDxf="1" dxf="1">
    <oc r="B215" t="inlineStr">
      <is>
        <t xml:space="preserve">MARCELLO PEPE TREINAMENTOS </t>
      </is>
    </oc>
    <nc r="B215" t="inlineStr">
      <is>
        <t>MARCELLO PEPE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255" sId="1">
    <nc r="F131" t="inlineStr">
      <is>
        <t>Simples</t>
      </is>
    </nc>
  </rcc>
  <rcc rId="2256" sId="1" xfDxf="1" dxf="1">
    <oc r="B131" t="inlineStr">
      <is>
        <t>CARLA MONTONI ITABORAHY</t>
      </is>
    </oc>
    <nc r="B131" t="inlineStr">
      <is>
        <t>CARLA MONTONI</t>
      </is>
    </nc>
    <ndxf>
      <font>
        <sz val="10"/>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257" sId="1" xfDxf="1" s="1" dxf="1">
    <nc r="D131" t="inlineStr">
      <is>
        <t>15.212.405/0001-60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58" sId="2" odxf="1" dxf="1">
    <oc r="B216" t="inlineStr">
      <is>
        <t>CARLA MONTONI ITABORAHY</t>
      </is>
    </oc>
    <nc r="B216" t="inlineStr">
      <is>
        <t>CARLA MONTONI</t>
      </is>
    </nc>
    <odxf>
      <font>
        <sz val="10"/>
        <color auto="1"/>
      </font>
    </odxf>
    <ndxf>
      <font>
        <sz val="10"/>
        <color auto="1"/>
        <name val="Arial"/>
        <scheme val="none"/>
      </font>
    </ndxf>
  </rcc>
  <rcc rId="2259" sId="1" xfDxf="1" s="1" dxf="1">
    <nc r="D132" t="inlineStr">
      <is>
        <t>19.925.226/0001-21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60" sId="1" xfDxf="1" dxf="1">
    <oc r="B132" t="inlineStr">
      <is>
        <t>WALDIR PEREIRA DE MELO</t>
      </is>
    </oc>
    <nc r="B132" t="inlineStr">
      <is>
        <t>WALDIR PEREIRA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261" sId="1">
    <nc r="F132" t="inlineStr">
      <is>
        <t>Presumido</t>
      </is>
    </nc>
  </rcc>
  <rrc rId="2262" sId="2" ref="A217:XFD21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263" sId="2">
    <nc r="A217">
      <v>412</v>
    </nc>
  </rcc>
  <rcc rId="2264" sId="2" xfDxf="1" dxf="1">
    <nc r="B217" t="inlineStr">
      <is>
        <t>WALDIR PEREIRA</t>
      </is>
    </nc>
    <ndxf>
      <font>
        <sz val="10"/>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265" sId="1" xfDxf="1" s="1" dxf="1">
    <nc r="D133" t="inlineStr">
      <is>
        <t>19.999.110/0001-37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66" sId="1">
    <nc r="F133" t="inlineStr">
      <is>
        <t>Simples</t>
      </is>
    </nc>
  </rcc>
  <rcc rId="2267" sId="1" xfDxf="1" dxf="1">
    <oc r="B133" t="inlineStr">
      <is>
        <t>FANIOLINI REPRESENTAÇÕES COMERCIAIS</t>
      </is>
    </oc>
    <nc r="B133" t="inlineStr">
      <is>
        <t>FANIOLINI</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68" sId="2" xfDxf="1" dxf="1">
    <oc r="B218" t="inlineStr">
      <is>
        <t>FANIOLINI REPRESENTAÇÕES COMERCIAIS</t>
      </is>
    </oc>
    <nc r="B218" t="inlineStr">
      <is>
        <t>FANIOLINI</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269" sId="1">
    <nc r="F134" t="inlineStr">
      <is>
        <t>Simples</t>
      </is>
    </nc>
  </rcc>
  <rcc rId="2270" sId="1" xfDxf="1" dxf="1">
    <oc r="B134" t="inlineStr">
      <is>
        <t xml:space="preserve">CERVEJARIA ARTHORIUS </t>
      </is>
    </oc>
    <nc r="B134" t="inlineStr">
      <is>
        <t>CERVEJARIA ARTHORIUS</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71" sId="1" xfDxf="1" s="1" dxf="1">
    <nc r="D134" t="inlineStr">
      <is>
        <t>20.040.156/0001-03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72" sId="2" odxf="1" dxf="1">
    <oc r="B221" t="inlineStr">
      <is>
        <t xml:space="preserve">CERVEJARIA ARTHORIUS </t>
      </is>
    </oc>
    <nc r="B221" t="inlineStr">
      <is>
        <t>CERVEJARIA ARTHORIUS</t>
      </is>
    </nc>
    <odxf>
      <font>
        <sz val="10"/>
        <color auto="1"/>
      </font>
      <fill>
        <patternFill patternType="none">
          <bgColor indexed="65"/>
        </patternFill>
      </fill>
    </odxf>
    <ndxf>
      <font>
        <sz val="10"/>
        <color auto="1"/>
        <name val="Arial"/>
        <scheme val="none"/>
      </font>
      <fill>
        <patternFill patternType="solid">
          <bgColor theme="0"/>
        </patternFill>
      </fill>
    </ndxf>
  </rcc>
  <rcc rId="2273" sId="1">
    <nc r="F135" t="inlineStr">
      <is>
        <t>Simples</t>
      </is>
    </nc>
  </rcc>
  <rcc rId="2274" sId="1" xfDxf="1" dxf="1">
    <oc r="B135" t="inlineStr">
      <is>
        <t>ELITE CRRETORA DE IMÓVEIS LTDA- ME</t>
      </is>
    </oc>
    <nc r="B135" t="inlineStr">
      <is>
        <t>ELITE CORRETORA</t>
      </is>
    </nc>
    <ndxf>
      <font>
        <sz val="10"/>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cc rId="2275" sId="1" xfDxf="1" s="1" dxf="1">
    <nc r="D135" t="inlineStr">
      <is>
        <t>20.032.516/0001-25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76" sId="2" odxf="1" dxf="1">
    <oc r="B222" t="inlineStr">
      <is>
        <t>ELITE CRRETORA DE IMÓVEIS LTDA- ME</t>
      </is>
    </oc>
    <nc r="B222" t="inlineStr">
      <is>
        <t>ELITE CORRETORA</t>
      </is>
    </nc>
    <odxf>
      <font>
        <sz val="10"/>
        <color auto="1"/>
      </font>
    </odxf>
    <ndxf>
      <font>
        <sz val="10"/>
        <color auto="1"/>
        <name val="Arial"/>
        <scheme val="none"/>
      </font>
    </ndxf>
  </rcc>
  <rcc rId="2277" sId="1">
    <nc r="F136" t="inlineStr">
      <is>
        <t>Presumido</t>
      </is>
    </nc>
  </rcc>
  <rcc rId="2278" sId="1" xfDxf="1" dxf="1">
    <nc r="M136" t="inlineStr">
      <is>
        <t>Cod. Gfip - 155</t>
      </is>
    </nc>
    <ndxf>
      <font>
        <sz val="12"/>
        <name val="Arial"/>
        <scheme val="none"/>
      </font>
    </ndxf>
  </rcc>
  <rcc rId="2279" sId="1" xfDxf="1" dxf="1">
    <oc r="B136" t="inlineStr">
      <is>
        <r>
          <t xml:space="preserve">MOURA &amp; SILVA                         </t>
        </r>
        <r>
          <rPr>
            <b/>
            <sz val="10"/>
            <rFont val="Arial"/>
            <family val="2"/>
          </rPr>
          <t xml:space="preserve">Cod. Gfip - 155 PRESUMIDO </t>
        </r>
      </is>
    </oc>
    <nc r="B136" t="inlineStr">
      <is>
        <t>MOURA E SILVA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80" sId="1" xfDxf="1" s="1" dxf="1">
    <nc r="D136" t="inlineStr">
      <is>
        <t>10.716.438/0001-24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81" sId="2" odxf="1" dxf="1">
    <oc r="B223" t="inlineStr">
      <is>
        <t>MOURA E SILVA CONSTRUTORA E INCORPORADORA LTDA - M</t>
      </is>
    </oc>
    <nc r="B223" t="inlineStr">
      <is>
        <t>MOURA E SILVA</t>
      </is>
    </nc>
    <odxf>
      <font>
        <sz val="10"/>
        <color auto="1"/>
      </font>
      <fill>
        <patternFill patternType="none">
          <bgColor indexed="65"/>
        </patternFill>
      </fill>
    </odxf>
    <ndxf>
      <font>
        <sz val="10"/>
        <color auto="1"/>
        <name val="Arial"/>
        <scheme val="none"/>
      </font>
      <fill>
        <patternFill patternType="solid">
          <bgColor theme="0"/>
        </patternFill>
      </fill>
    </ndxf>
  </rcc>
  <rcc rId="2282" sId="1" xfDxf="1" s="1" dxf="1">
    <nc r="D137" t="inlineStr">
      <is>
        <t>20.934.951/0001-45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83" sId="1">
    <nc r="F137" t="inlineStr">
      <is>
        <t>Simples</t>
      </is>
    </nc>
  </rcc>
  <rfmt sheetId="1" xfDxf="1" sqref="B137" start="0" length="0">
    <dxf>
      <font>
        <sz val="9"/>
        <color auto="1"/>
        <name val="Arial"/>
        <scheme val="none"/>
      </font>
      <fill>
        <patternFill patternType="solid">
          <bgColor theme="9" tint="0.59999389629810485"/>
        </patternFill>
      </fill>
      <alignment horizontal="left" vertical="center" wrapText="1" readingOrder="0"/>
      <border outline="0">
        <left style="thin">
          <color indexed="64"/>
        </left>
        <right style="thin">
          <color indexed="64"/>
        </right>
        <top style="thin">
          <color indexed="64"/>
        </top>
        <bottom style="thin">
          <color indexed="64"/>
        </bottom>
      </border>
    </dxf>
  </rfmt>
  <rcc rId="2284" sId="1">
    <oc r="B137" t="inlineStr">
      <is>
        <t>GLOBAL CENTRO</t>
      </is>
    </oc>
    <nc r="B137" t="inlineStr">
      <is>
        <t>GLOBAL CENTRO COMERCIAL E DISTRIBUICAO</t>
      </is>
    </nc>
  </rcc>
  <rcc rId="2285" sId="2" odxf="1" dxf="1">
    <oc r="B224" t="inlineStr">
      <is>
        <t>GLOBAL CENTRO</t>
      </is>
    </oc>
    <nc r="B224" t="inlineStr">
      <is>
        <t>GLOBAL CENTRO COMERCIAL E DISTRIBUICAO</t>
      </is>
    </nc>
    <odxf>
      <font>
        <sz val="10"/>
        <color auto="1"/>
      </font>
      <fill>
        <patternFill patternType="none">
          <bgColor indexed="65"/>
        </patternFill>
      </fill>
    </odxf>
    <ndxf>
      <font>
        <sz val="9"/>
        <color auto="1"/>
        <name val="Arial"/>
        <scheme val="none"/>
      </font>
      <fill>
        <patternFill patternType="solid">
          <bgColor theme="9" tint="0.59999389629810485"/>
        </patternFill>
      </fill>
    </ndxf>
  </rcc>
  <rcc rId="2286" sId="1" xfDxf="1" dxf="1">
    <oc r="B138" t="inlineStr">
      <is>
        <t xml:space="preserve">ULTRA SCAN DIAGNOSTICO PRESUMIDO </t>
      </is>
    </oc>
    <nc r="B138" t="inlineStr">
      <is>
        <t>ULTRA SCAN</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87" sId="1">
    <nc r="F138" t="inlineStr">
      <is>
        <t>Presumido</t>
      </is>
    </nc>
  </rcc>
  <rcc rId="2288" sId="1" xfDxf="1" s="1" dxf="1">
    <nc r="D138" t="inlineStr">
      <is>
        <t>21.010.729/0001-19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89" sId="2" odxf="1" dxf="1">
    <oc r="B225" t="inlineStr">
      <is>
        <t>ULTRA SCAN DIAGNOSTICO</t>
      </is>
    </oc>
    <nc r="B225" t="inlineStr">
      <is>
        <t>ULTRA SCAN</t>
      </is>
    </nc>
    <odxf>
      <font>
        <sz val="10"/>
        <color auto="1"/>
      </font>
      <fill>
        <patternFill patternType="none">
          <bgColor indexed="65"/>
        </patternFill>
      </fill>
    </odxf>
    <ndxf>
      <font>
        <sz val="10"/>
        <color auto="1"/>
        <name val="Arial"/>
        <scheme val="none"/>
      </font>
      <fill>
        <patternFill patternType="solid">
          <bgColor theme="0"/>
        </patternFill>
      </fill>
    </ndxf>
  </rcc>
  <rfmt sheetId="1" sqref="B139" start="0" length="0">
    <dxf>
      <font>
        <sz val="8"/>
        <color auto="1"/>
      </font>
    </dxf>
  </rfmt>
  <rcc rId="2290" sId="1" xfDxf="1" s="1" dxf="1">
    <nc r="D139" t="inlineStr">
      <is>
        <t>23.245.145/0001-58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91" sId="1" xfDxf="1" dxf="1">
    <oc r="B139" t="inlineStr">
      <is>
        <t>ARCONGEL REFRIGERAÇÕES METALURGICO/SETEMBRO           23.245.145/0001-58</t>
      </is>
    </oc>
    <nc r="B139" t="inlineStr">
      <is>
        <t>ARCONGEL MATRIZ</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cc rId="2292" sId="1">
    <nc r="F139" t="inlineStr">
      <is>
        <t>Simples</t>
      </is>
    </nc>
  </rcc>
  <rfmt sheetId="1" sqref="B139">
    <dxf>
      <alignment horizontal="center" readingOrder="0"/>
    </dxf>
  </rfmt>
  <rfmt sheetId="1" sqref="B139">
    <dxf>
      <alignment horizontal="left" readingOrder="0"/>
    </dxf>
  </rfmt>
  <rfmt sheetId="1" sqref="B139">
    <dxf>
      <alignment vertical="center" readingOrder="0"/>
    </dxf>
  </rfmt>
  <rcc rId="2293" sId="2" odxf="1" dxf="1">
    <oc r="B228" t="inlineStr">
      <is>
        <t>ARCONGEL REFRIGERAÇÕES</t>
      </is>
    </oc>
    <nc r="B228" t="inlineStr">
      <is>
        <t>ARCONGEL MATRIZ</t>
      </is>
    </nc>
    <odxf>
      <font>
        <sz val="10"/>
        <color auto="1"/>
      </font>
      <fill>
        <patternFill patternType="none">
          <bgColor indexed="65"/>
        </patternFill>
      </fill>
    </odxf>
    <ndxf>
      <font>
        <sz val="8"/>
        <color auto="1"/>
      </font>
      <fill>
        <patternFill patternType="solid">
          <bgColor theme="0"/>
        </patternFill>
      </fill>
    </ndxf>
  </rcc>
  <rfmt sheetId="2" sqref="B228" start="0" length="2147483647">
    <dxf>
      <font>
        <name val="Arial"/>
        <scheme val="none"/>
      </font>
    </dxf>
  </rfmt>
  <rfmt sheetId="2" sqref="B228" start="0" length="2147483647">
    <dxf>
      <font>
        <sz val="10"/>
      </font>
    </dxf>
  </rfmt>
  <rfmt sheetId="1" sqref="B139" start="0" length="2147483647">
    <dxf>
      <font>
        <name val="Arial"/>
        <scheme val="none"/>
      </font>
    </dxf>
  </rfmt>
  <rfmt sheetId="1" sqref="B139" start="0" length="2147483647">
    <dxf>
      <font>
        <sz val="10"/>
      </font>
    </dxf>
  </rfmt>
  <rcc rId="2294" sId="1" xfDxf="1" s="1" dxf="1">
    <nc r="E140" t="inlineStr">
      <is>
        <t>FEDERAÇÃO DO COMERCIO 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95" sId="1">
    <nc r="F140" t="inlineStr">
      <is>
        <t>Simples</t>
      </is>
    </nc>
  </rcc>
  <rcc rId="2296" sId="1" xfDxf="1" dxf="1">
    <oc r="B140" t="inlineStr">
      <is>
        <t>CASSIO ELIZIO         00.884.534/0001-28                       FEDERAÇÃO DO COMERCIO                         Data Base: Janeiro</t>
      </is>
    </oc>
    <nc r="B140" t="inlineStr">
      <is>
        <t>CASSIO ELIZIO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297" sId="1" xfDxf="1" s="1" dxf="1">
    <nc r="D140" t="inlineStr">
      <is>
        <t>00.884.534/0001-28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298" sId="2" odxf="1" dxf="1">
    <oc r="B233" t="inlineStr">
      <is>
        <t>CASSIO ELIZIO DE RESENDE PRODUCOES - ME</t>
      </is>
    </oc>
    <nc r="B233" t="inlineStr">
      <is>
        <t>CASSIO ELIZIO</t>
      </is>
    </nc>
    <odxf>
      <font>
        <sz val="10"/>
        <color auto="1"/>
      </font>
      <fill>
        <patternFill patternType="none">
          <bgColor indexed="65"/>
        </patternFill>
      </fill>
    </odxf>
    <ndxf>
      <font>
        <sz val="9"/>
        <color auto="1"/>
        <name val="Arial"/>
        <scheme val="none"/>
      </font>
      <fill>
        <patternFill patternType="solid">
          <bgColor theme="0"/>
        </patternFill>
      </fill>
    </ndxf>
  </rcc>
  <rcc rId="2299" sId="1">
    <nc r="F141" t="inlineStr">
      <is>
        <t>Presumido</t>
      </is>
    </nc>
  </rcc>
  <rcc rId="2300" sId="1" xfDxf="1" dxf="1">
    <oc r="B141" t="inlineStr">
      <is>
        <t xml:space="preserve">FERTEL REPRESENTAÇÕES PRESUMIDO </t>
      </is>
    </oc>
    <nc r="B141" t="inlineStr">
      <is>
        <t>FERTEL</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01" sId="2" xfDxf="1" dxf="1">
    <oc r="B242" t="inlineStr">
      <is>
        <t>FERTEL REPRESENTAÇÕES</t>
      </is>
    </oc>
    <nc r="B242" t="inlineStr">
      <is>
        <t>FERTEL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02" sId="1" xfDxf="1" s="1" dxf="1">
    <nc r="D141" t="inlineStr">
      <is>
        <t>10.341.129/0001-17</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03" sId="1">
    <nc r="D142" t="inlineStr">
      <is>
        <t>CEI 512151545008</t>
      </is>
    </nc>
  </rcc>
  <rcc rId="2304" sId="1">
    <nc r="F142" t="inlineStr">
      <is>
        <t>CEI</t>
      </is>
    </nc>
  </rcc>
  <rcc rId="2305" sId="1" xfDxf="1" dxf="1">
    <oc r="B142" t="inlineStr">
      <is>
        <t>GIOVANNI CERRONE JUNIOR</t>
      </is>
    </oc>
    <nc r="B142" t="inlineStr">
      <is>
        <t>GIOVANNI CERRONE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06" sId="1">
    <nc r="F143" t="inlineStr">
      <is>
        <t>Presumido</t>
      </is>
    </nc>
  </rcc>
  <rcc rId="2307" sId="1" xfDxf="1" dxf="1">
    <oc r="B143" t="inlineStr">
      <is>
        <t xml:space="preserve">EDRIVE PRESUMIDO </t>
      </is>
    </oc>
    <nc r="B143" t="inlineStr">
      <is>
        <t>EDRIVE</t>
      </is>
    </nc>
    <ndxf>
      <font>
        <sz val="9"/>
        <color auto="1"/>
        <name val="Arial"/>
        <scheme val="none"/>
      </font>
      <fill>
        <patternFill patternType="solid">
          <bgColor theme="9" tint="0.59999389629810485"/>
        </patternFill>
      </fill>
      <alignment horizontal="left" vertical="center" wrapText="1" readingOrder="0"/>
      <border outline="0">
        <left style="thin">
          <color indexed="64"/>
        </left>
        <right style="thin">
          <color indexed="64"/>
        </right>
        <top style="thin">
          <color indexed="64"/>
        </top>
        <bottom style="thin">
          <color indexed="64"/>
        </bottom>
      </border>
    </ndxf>
  </rcc>
  <rcc rId="2308" sId="2" xfDxf="1" dxf="1">
    <oc r="B247" t="inlineStr">
      <is>
        <t>B&amp;B</t>
      </is>
    </oc>
    <nc r="B247" t="inlineStr">
      <is>
        <t>EDRIVE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09" sId="2">
    <oc r="C247" t="inlineStr">
      <is>
        <t>SAIU</t>
      </is>
    </oc>
    <nc r="C247"/>
  </rcc>
  <rcc rId="2310" sId="1" xfDxf="1" s="1" dxf="1">
    <nc r="D143" t="inlineStr">
      <is>
        <t>05.990.722/0001-54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144" start="0" length="0">
    <dxf>
      <font>
        <sz val="8"/>
        <color auto="1"/>
      </font>
    </dxf>
  </rfmt>
  <rcc rId="2311" sId="1" xfDxf="1" s="1" dxf="1">
    <nc r="E144" t="inlineStr">
      <is>
        <t>METALURGICO   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12" sId="1" xfDxf="1" s="1" dxf="1">
    <nc r="D144" t="inlineStr">
      <is>
        <t>09.102.205/0001-52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13" sId="1" xfDxf="1" dxf="1">
    <oc r="B144" t="inlineStr">
      <is>
        <t>APOIO DESENHOS                                 METALURGICO   SETEMBRO                                 09.102.205/0001-52</t>
      </is>
    </oc>
    <nc r="B144" t="inlineStr">
      <is>
        <t>APOIO DESENHOS LTDA</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144">
    <dxf>
      <alignment vertical="center" readingOrder="0"/>
    </dxf>
  </rfmt>
  <rcc rId="2314" sId="1">
    <nc r="F144" t="inlineStr">
      <is>
        <t>Simples</t>
      </is>
    </nc>
  </rcc>
  <rcc rId="2315" sId="2" xfDxf="1" dxf="1">
    <oc r="B250" t="inlineStr">
      <is>
        <t>APOIO DESENHOS</t>
      </is>
    </oc>
    <nc r="B250" t="inlineStr">
      <is>
        <t>APOIO DESENHOS LTDA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16" sId="1" xfDxf="1" s="1" dxf="1">
    <nc r="E145" t="inlineStr">
      <is>
        <t>FEDERAÇÃO 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17" sId="1" xfDxf="1" s="1" dxf="1">
    <nc r="D145" t="inlineStr">
      <is>
        <t>14.227.622/0001-61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18" sId="1">
    <nc r="F145" t="inlineStr">
      <is>
        <t>Simples</t>
      </is>
    </nc>
  </rcc>
  <rcc rId="2319" sId="1" xfDxf="1" dxf="1">
    <oc r="B145" t="inlineStr">
      <is>
        <t>TOP MAIS                                              14.227.622/0001-61                             FEDERAÇÃO                                 DATA BASE: JANEIRO</t>
      </is>
    </oc>
    <nc r="B145" t="inlineStr">
      <is>
        <t>TOP MAIS PRODUCOES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20" sId="2" xfDxf="1" dxf="1">
    <oc r="B251" t="inlineStr">
      <is>
        <t>TOP MAIS</t>
      </is>
    </oc>
    <nc r="B251" t="inlineStr">
      <is>
        <t>TOP MAIS PRODUCOES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21" sId="1" xfDxf="1" s="1" dxf="1">
    <nc r="E146" t="inlineStr">
      <is>
        <t>sind: Mobiliario Data base: Abril</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22" sId="1">
    <nc r="D146" t="inlineStr">
      <is>
        <t>21.966.919/0001-04</t>
      </is>
    </nc>
  </rcc>
  <rcc rId="2323" sId="1">
    <nc r="F146" t="inlineStr">
      <is>
        <t>Simples</t>
      </is>
    </nc>
  </rcc>
  <rcc rId="2324" sId="1" xfDxf="1" dxf="1">
    <oc r="B146" t="inlineStr">
      <is>
        <t>MEDIRE INDÚSTRIA DE MÓVEIS E AUTOMOÇÃO LTDA-ME sind: Mobiliario Data base: Abril     CNPJ: 21.966.919/0001-04</t>
      </is>
    </oc>
    <nc r="B146" t="inlineStr">
      <is>
        <t>MEDIRE INDUSTRIA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25" sId="2" xfDxf="1" dxf="1">
    <oc r="B243" t="inlineStr">
      <is>
        <t>MEDIRE</t>
      </is>
    </oc>
    <nc r="B243" t="inlineStr">
      <is>
        <t>MEDIRE INDUSTRIA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26" sId="1" xfDxf="1" s="1" dxf="1">
    <nc r="E147" t="inlineStr">
      <is>
        <t>Sind: confecção do vestuário Data Base: Fevereiro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E147" start="0" length="2147483647">
    <dxf>
      <font>
        <sz val="9"/>
      </font>
    </dxf>
  </rfmt>
  <rfmt sheetId="1" sqref="E147" start="0" length="2147483647">
    <dxf>
      <font>
        <sz val="9.5"/>
      </font>
    </dxf>
  </rfmt>
  <rfmt sheetId="1" sqref="E147" start="0" length="2147483647">
    <dxf>
      <font>
        <sz val="9.4"/>
      </font>
    </dxf>
  </rfmt>
  <rcc rId="2327" sId="1" xfDxf="1" s="1" dxf="1">
    <nc r="D147" t="inlineStr">
      <is>
        <t>12.729.583/0001-75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28" sId="1" xfDxf="1" dxf="1">
    <oc r="B147" t="inlineStr">
      <is>
        <t>MITO ESPORTE CONFECCAO LTDA - ME Sind: confecção do vestuário Data Base: Fevereiro  CNPJ: 12.729.583/0001-75</t>
      </is>
    </oc>
    <nc r="B147" t="inlineStr">
      <is>
        <t>MITO ESPORTE</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29" sId="1">
    <nc r="F147" t="inlineStr">
      <is>
        <t>Simples</t>
      </is>
    </nc>
  </rcc>
  <rcc rId="2330" sId="2" xfDxf="1" dxf="1">
    <oc r="B253" t="inlineStr">
      <is>
        <t xml:space="preserve">MITO ESPORTE CONFECÇÃO LTDA -ME </t>
      </is>
    </oc>
    <nc r="B253" t="inlineStr">
      <is>
        <t>MITO ESPORTE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31" sId="1">
    <nc r="F148" t="inlineStr">
      <is>
        <t>Simples</t>
      </is>
    </nc>
  </rcc>
  <rcc rId="2332" sId="1" xfDxf="1" dxf="1">
    <oc r="B148" t="inlineStr">
      <is>
        <t xml:space="preserve">MARCELO M. COSTA ME </t>
      </is>
    </oc>
    <nc r="B148" t="inlineStr">
      <is>
        <t>MARCELO M. COSTA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333" sId="2" ref="A254:XFD25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334" sId="2">
    <nc r="A254">
      <v>453</v>
    </nc>
  </rcc>
  <rcc rId="2335" sId="2" xfDxf="1" dxf="1">
    <nc r="B254" t="inlineStr">
      <is>
        <t>MARCELO M. COSTA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36" sId="1" xfDxf="1" s="1" dxf="1">
    <nc r="D148" t="inlineStr">
      <is>
        <t>22.749.828/0001-80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37" sId="1" xfDxf="1" dxf="1">
    <oc r="B149" t="inlineStr">
      <is>
        <t>RUBENS MUSCARDI ME</t>
      </is>
    </oc>
    <nc r="B149" t="inlineStr">
      <is>
        <t>RUBENS MUSCARDI - ME</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38" sId="1">
    <nc r="F149" t="inlineStr">
      <is>
        <t>Simples</t>
      </is>
    </nc>
  </rcc>
  <rrc rId="2339" sId="2" ref="A255:XFD25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340" sId="2">
    <nc r="A255">
      <v>454</v>
    </nc>
  </rcc>
  <rcc rId="2341" sId="2" xfDxf="1" dxf="1">
    <nc r="B255" t="inlineStr">
      <is>
        <t>RUBENS MUSCARDI - ME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42" sId="1" xfDxf="1" s="1" dxf="1">
    <nc r="D149" t="inlineStr">
      <is>
        <t>22.714.867/0001-41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43" sId="1" xfDxf="1" s="1" dxf="1">
    <nc r="D150" t="inlineStr">
      <is>
        <t>011.832.736-49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44" sId="1" xfDxf="1" dxf="1">
    <oc r="B150" t="inlineStr">
      <is>
        <t>LUCIA CYRANKA</t>
      </is>
    </oc>
    <nc r="B150" t="inlineStr">
      <is>
        <t>LUCIA FURTADO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45" sId="2" xfDxf="1" dxf="1">
    <oc r="B256" t="inlineStr">
      <is>
        <t xml:space="preserve">LUCIA FURATDO MENDONÇA CYRANKA </t>
      </is>
    </oc>
    <nc r="B256" t="inlineStr">
      <is>
        <t>LUCIA FURTADO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46" sId="1" xfDxf="1" s="1" dxf="1">
    <nc r="D151" t="inlineStr">
      <is>
        <t>209.620.026-15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47" sId="1" xfDxf="1" dxf="1">
    <oc r="B151" t="inlineStr">
      <is>
        <t xml:space="preserve">HIGINA THAIIA CARNEIRO DE MACEDO </t>
      </is>
    </oc>
    <nc r="B151" t="inlineStr">
      <is>
        <t>HIGINA MARIA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48" sId="2" xfDxf="1" dxf="1">
    <oc r="B257" t="inlineStr">
      <is>
        <t>HIGINA MARIA CARNEIRO DE MACEDO</t>
      </is>
    </oc>
    <nc r="B257" t="inlineStr">
      <is>
        <t>HIGINA MARIA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1" sqref="D152"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349" sId="1" xfDxf="1" s="1" dxf="1">
    <nc r="E152" t="inlineStr">
      <is>
        <t>sind: Metalurgico Data base: Setembro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50" sId="1">
    <nc r="F152" t="inlineStr">
      <is>
        <t>Presumido</t>
      </is>
    </nc>
  </rcc>
  <rcc rId="2351" sId="1">
    <nc r="D152" t="inlineStr">
      <is>
        <t>22.839.270/0001-23</t>
      </is>
    </nc>
  </rcc>
  <rcc rId="2352" sId="1" xfDxf="1" dxf="1">
    <oc r="B152" t="inlineStr">
      <is>
        <t>WELLERSON CARVALHO RODRIGUES ME sind: Metalurgico Data base: Setembro CNPJ : 22.839.270/0001/23</t>
      </is>
    </oc>
    <nc r="B152" t="inlineStr">
      <is>
        <t>WELLERSON CARVALHO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53" sId="1" xfDxf="1" s="1" dxf="1">
    <nc r="D153" t="inlineStr">
      <is>
        <t>23.265.636/0001-60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54" sId="1" xfDxf="1" dxf="1">
    <oc r="B153" t="inlineStr">
      <is>
        <t>POPULUS TREINAMENTO E DESENVOLVIMENTO PROFISSIONAL</t>
      </is>
    </oc>
    <nc r="B153" t="inlineStr">
      <is>
        <t>POPULUS TREINAMENTO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55" sId="1">
    <nc r="F153" t="inlineStr">
      <is>
        <t>Simples</t>
      </is>
    </nc>
  </rcc>
  <rfmt sheetId="1" sqref="B154" start="0" length="0">
    <dxf>
      <font>
        <sz val="8"/>
        <color auto="1"/>
      </font>
    </dxf>
  </rfmt>
  <rcc rId="2356" sId="1" xfDxf="1" s="1" dxf="1">
    <nc r="D154" t="inlineStr">
      <is>
        <t>10.325.713/0001-89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57" sId="1" xfDxf="1" s="1" dxf="1">
    <nc r="E154" t="inlineStr">
      <is>
        <t xml:space="preserve"> SINTAPPI/MAIO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58" sId="1">
    <nc r="F154" t="inlineStr">
      <is>
        <t>Simples</t>
      </is>
    </nc>
  </rcc>
  <rcc rId="2359" sId="1" xfDxf="1" dxf="1">
    <oc r="B154" t="inlineStr">
      <is>
        <t>VOITTO TREINAMENTO, DESENVOLVIMENTO                       SINTAPPI/MAIO                                  10.325.713/0001-89</t>
      </is>
    </oc>
    <nc r="B154" t="inlineStr">
      <is>
        <t>VOITTO TREINAMENTO</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154">
    <dxf>
      <alignment vertical="center" readingOrder="0"/>
    </dxf>
  </rfmt>
  <rcc rId="2360" sId="2" xfDxf="1" dxf="1">
    <oc r="B259" t="inlineStr">
      <is>
        <t>Voitto Treinamentos</t>
      </is>
    </oc>
    <nc r="B259" t="inlineStr">
      <is>
        <t>VOITTO TREINAMENTO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61" sId="1">
    <nc r="F155" t="inlineStr">
      <is>
        <t>SIMEI</t>
      </is>
    </nc>
  </rcc>
  <rcc rId="2362" sId="1" xfDxf="1" dxf="1">
    <oc r="B155" t="inlineStr">
      <is>
        <t>RITA AMONICA DE JESUS (mei)</t>
      </is>
    </oc>
    <nc r="B155" t="inlineStr">
      <is>
        <t>RITA AMONICA</t>
      </is>
    </nc>
    <ndxf>
      <font>
        <sz val="9"/>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Id="2363" sId="2" ref="A261:XFD261"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364" sId="2">
    <nc r="A261">
      <v>462</v>
    </nc>
  </rcc>
  <rcc rId="2365" sId="2" xfDxf="1" dxf="1">
    <nc r="B261" t="inlineStr">
      <is>
        <t>RITA AMONICA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66" sId="1" xfDxf="1" s="1" dxf="1">
    <nc r="D155" t="inlineStr">
      <is>
        <t>22.958.239/0001-01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67" sId="1" xfDxf="1" s="1" dxf="1">
    <nc r="E156" t="inlineStr">
      <is>
        <t>SINDICATO DA SAÚDE - 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68" sId="1" xfDxf="1" s="1" dxf="1">
    <nc r="D156" t="inlineStr">
      <is>
        <t xml:space="preserve"> 21.603.129/0001-64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69" sId="1" xfDxf="1" dxf="1">
    <oc r="B156" t="inlineStr">
      <is>
        <t xml:space="preserve">LARA SERV. MED. LTDA                                  21.603.129/0001-64                  SINDICATO DA SAÚDE -      Data Base: MAIO                                                           </t>
      </is>
    </oc>
    <nc r="B156" t="inlineStr">
      <is>
        <t>LARA C. S LOPES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70" sId="1">
    <nc r="F156" t="inlineStr">
      <is>
        <t>Simples</t>
      </is>
    </nc>
  </rcc>
  <rcc rId="2371" sId="2" xfDxf="1" dxf="1">
    <oc r="B262" t="inlineStr">
      <is>
        <t>LARA C . S . LOPES SERVIÇOS MEDICOS LTDA - ME</t>
      </is>
    </oc>
    <nc r="B262" t="inlineStr">
      <is>
        <t>LARA C. S LOPES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protection locked="0"/>
    </ndxf>
  </rcc>
  <rfmt sheetId="1" sqref="B157" start="0" length="0">
    <dxf>
      <font>
        <sz val="8"/>
        <color auto="1"/>
      </font>
    </dxf>
  </rfmt>
  <rcc rId="2372" sId="1" xfDxf="1" s="1" dxf="1">
    <nc r="E157" t="inlineStr">
      <is>
        <t>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73" sId="1" xfDxf="1" s="1" dxf="1">
    <nc r="D157" t="inlineStr">
      <is>
        <t>20.546.608/0001-23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74" sId="1">
    <nc r="F157" t="inlineStr">
      <is>
        <t>Simples</t>
      </is>
    </nc>
  </rcc>
  <rfmt sheetId="1" xfDxf="1" sqref="B157" start="0" length="0">
    <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protection locked="0"/>
    </dxf>
  </rfmt>
  <rcc rId="2375" sId="1" xfDxf="1" dxf="1">
    <oc r="B157" t="inlineStr">
      <is>
        <t>POUSADA MARIA VEIGA LTDA. - ME            Simples 20.546.608/0001-23            Data base: maio</t>
      </is>
    </oc>
    <nc r="B157" t="inlineStr">
      <is>
        <t>POUSADA MARIA VEIGA</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protection locked="0"/>
    </ndxf>
  </rcc>
  <rfmt sheetId="1" sqref="B157">
    <dxf>
      <alignment vertical="center" readingOrder="0"/>
    </dxf>
  </rfmt>
  <rcc rId="2376" sId="2" xfDxf="1" dxf="1">
    <oc r="B263" t="inlineStr">
      <is>
        <t>POUSADA MARIA VEIGA LTDA</t>
      </is>
    </oc>
    <nc r="B263" t="inlineStr">
      <is>
        <t>POUSADA MARIA VEIGA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77" sId="1" xfDxf="1" s="1" dxf="1">
    <nc r="D158" t="inlineStr">
      <is>
        <t>23.480.751/0001-58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78" sId="1" xfDxf="1" s="1" dxf="1">
    <nc r="E158" t="inlineStr">
      <is>
        <t>sind: comércio 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79" sId="1" xfDxf="1" dxf="1">
    <oc r="B158" t="inlineStr">
      <is>
        <t>TV JUIZBIJUTERIA 2015 LTDA - ME sind: comércio data base: Outubro     CNPJ: 23.480.751/0001-58</t>
      </is>
    </oc>
    <nc r="B158" t="inlineStr">
      <is>
        <t>TV JUIZBIJUTERIA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380" sId="1">
    <nc r="F158" t="inlineStr">
      <is>
        <t>Simples</t>
      </is>
    </nc>
  </rcc>
  <rcc rId="2381" sId="2" xfDxf="1" dxf="1">
    <oc r="B266" t="inlineStr">
      <is>
        <t>TV BIJUTERIA</t>
      </is>
    </oc>
    <nc r="B266" t="inlineStr">
      <is>
        <t>TV JUIZBIJUTERIA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82" sId="1" xfDxf="1" dxf="1">
    <oc r="B159" t="inlineStr">
      <is>
        <t>CONDOMINIO RESIDENCIAL LES MAISONS DU PERO</t>
      </is>
    </oc>
    <nc r="B159" t="inlineStr">
      <is>
        <t>CONDOMINIO RESIDENCIAL LES MAISONS</t>
      </is>
    </nc>
    <ndxf>
      <font>
        <sz val="8"/>
        <color indexed="8"/>
        <name val="Arial"/>
        <scheme val="none"/>
      </font>
      <numFmt numFmtId="30" formatCode="@"/>
      <alignment vertical="center" wrapText="1" readingOrder="0"/>
      <border outline="0">
        <left style="thin">
          <color indexed="64"/>
        </left>
        <right style="thin">
          <color indexed="64"/>
        </right>
        <top style="thin">
          <color indexed="64"/>
        </top>
        <bottom style="thin">
          <color indexed="64"/>
        </bottom>
      </border>
    </ndxf>
  </rcc>
  <rrc rId="2383" sId="2" ref="A267:XFD26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384" sId="2">
    <nc r="A267">
      <v>470</v>
    </nc>
  </rcc>
  <rcc rId="2385" sId="2" xfDxf="1" dxf="1">
    <nc r="B267" t="inlineStr">
      <is>
        <t>CONDOMINIO RESIDENCIAL LES MAISONS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2" sqref="B267" start="0" length="2147483647">
    <dxf>
      <font>
        <sz val="8"/>
      </font>
    </dxf>
  </rfmt>
  <rfmt sheetId="2" sqref="B267" start="0" length="2147483647">
    <dxf>
      <font>
        <sz val="9"/>
      </font>
    </dxf>
  </rfmt>
  <rcc rId="2386" sId="1">
    <nc r="F159" t="inlineStr">
      <is>
        <t>Condomínio</t>
      </is>
    </nc>
  </rcc>
  <rcc rId="2387" sId="1" xfDxf="1" s="1" dxf="1">
    <nc r="D159" t="inlineStr">
      <is>
        <t>23.448.719/0001-95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88" sId="1" xfDxf="1" s="1" dxf="1">
    <nc r="D160" t="inlineStr">
      <is>
        <t>20.424.918/0001-75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89" sId="1" xfDxf="1" s="1" dxf="1">
    <nc r="E160" t="inlineStr">
      <is>
        <t>sind: saloes data base:Março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90" sId="1" xfDxf="1" dxf="1">
    <oc r="B160" t="inlineStr">
      <is>
        <t>RHEMA sind: saloes data base:Março CNPJ:20.424.918/0001-75</t>
      </is>
    </oc>
    <nc r="B160" t="inlineStr">
      <is>
        <t>RHEMA CABELO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391" sId="1">
    <nc r="F160" t="inlineStr">
      <is>
        <t>Simples</t>
      </is>
    </nc>
  </rcc>
  <rcc rId="2392" sId="2" xfDxf="1" dxf="1">
    <oc r="B269" t="inlineStr">
      <is>
        <t>RHEMA CABELO, MAQUIAGEM E ESTETICA LTDA - ME</t>
      </is>
    </oc>
    <nc r="B269" t="inlineStr">
      <is>
        <t>RHEMA CABELO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93" sId="1" xfDxf="1" s="1" dxf="1">
    <nc r="D161" t="inlineStr">
      <is>
        <t>410.910.606-06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94" sId="1" xfDxf="1" dxf="1">
    <oc r="B161" t="inlineStr">
      <is>
        <t>MARIÂNGELA (Domestica)</t>
      </is>
    </oc>
    <nc r="B161" t="inlineStr">
      <is>
        <t>MARIANGELA ASSUMPCAO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395" sId="2">
    <nc r="A270">
      <v>474</v>
    </nc>
  </rcc>
  <rcc rId="2396" sId="2" xfDxf="1" dxf="1">
    <nc r="B270" t="inlineStr">
      <is>
        <t>MARIANGELA ASSUMPCAO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397" sId="1" xfDxf="1" s="1" dxf="1">
    <nc r="E162" t="inlineStr">
      <is>
        <t>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398" sId="1">
    <nc r="F162" t="inlineStr">
      <is>
        <t>Simples</t>
      </is>
    </nc>
  </rcc>
  <rcc rId="2399" sId="1" xfDxf="1" s="1" dxf="1">
    <nc r="D162" t="inlineStr">
      <is>
        <t xml:space="preserve">23.843.502/0001-80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00" sId="1" xfDxf="1" dxf="1">
    <oc r="B162" t="inlineStr">
      <is>
        <t>ALL DAY FIT                                                             Simples 23.843.502/0001-80                            Data base: maio</t>
      </is>
    </oc>
    <nc r="B162" t="inlineStr">
      <is>
        <t>ALL DAY FIT</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fmt sheetId="1" xfDxf="1" sqref="B163"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dxf>
  </rfmt>
  <rcc rId="2401" sId="1" xfDxf="1" dxf="1">
    <oc r="B163" t="inlineStr">
      <is>
        <t>APW TECNOLOGIA LTDA - ME</t>
      </is>
    </oc>
    <nc r="B163" t="inlineStr">
      <is>
        <t>APW TECNOLOGIA LTDA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02" sId="2" xfDxf="1" dxf="1">
    <oc r="B272" t="inlineStr">
      <is>
        <t xml:space="preserve">APW TECNOLOGIA </t>
      </is>
    </oc>
    <nc r="B272" t="inlineStr">
      <is>
        <t>APW TECNOLOGIA LTDA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03" sId="1">
    <nc r="F163" t="inlineStr">
      <is>
        <t>Simples</t>
      </is>
    </nc>
  </rcc>
  <rcc rId="2404" sId="1" xfDxf="1" s="1" dxf="1">
    <nc r="D163" t="inlineStr">
      <is>
        <t>22.296.318/0001-02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164" start="0" length="0">
    <dxf>
      <font>
        <sz val="8"/>
        <color auto="1"/>
      </font>
    </dxf>
  </rfmt>
  <rcc rId="2405" sId="1" xfDxf="1" s="1" dxf="1">
    <nc r="E164" t="inlineStr">
      <is>
        <t xml:space="preserve">Data base:  outubro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06" sId="1">
    <nc r="F164" t="inlineStr">
      <is>
        <t>Presumido</t>
      </is>
    </nc>
  </rcc>
  <rcc rId="2407" sId="1" xfDxf="1" s="1" dxf="1">
    <nc r="D164" t="inlineStr">
      <is>
        <t xml:space="preserve">02.052.576/0001-28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08" sId="1" xfDxf="1" dxf="1">
    <oc r="B164" t="inlineStr">
      <is>
        <t xml:space="preserve">JF PET DISTRIBUICAO E LOGISTICA LTDA    Presumido    02.052.576/0001-28     Data base:  outubro     </t>
      </is>
    </oc>
    <nc r="B164" t="inlineStr">
      <is>
        <t>JF PET DISTRIBUICAO</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protection locked="0"/>
    </ndxf>
  </rcc>
  <rfmt sheetId="1" sqref="B164">
    <dxf>
      <alignment vertical="center" readingOrder="0"/>
    </dxf>
  </rfmt>
  <rcc rId="2409" sId="2" xfDxf="1" dxf="1">
    <oc r="B274" t="inlineStr">
      <is>
        <t>JF PET</t>
      </is>
    </oc>
    <nc r="B274" t="inlineStr">
      <is>
        <t>JF PET DISTRIBUICAO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10" sId="1" xfDxf="1" dxf="1">
    <oc r="B165" t="inlineStr">
      <is>
        <t>SELF- MADE TELEMEDIA EIRELI</t>
      </is>
    </oc>
    <nc r="B165" t="inlineStr">
      <is>
        <t>HUGO OLIVEIRA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11" sId="1">
    <nc r="F165" t="inlineStr">
      <is>
        <t>Simples</t>
      </is>
    </nc>
  </rcc>
  <rrc rId="2412" sId="2" ref="A275:XFD27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13" sId="2">
    <nc r="A275">
      <v>481</v>
    </nc>
  </rcc>
  <rcc rId="2414" sId="2" xfDxf="1" dxf="1">
    <nc r="B275" t="inlineStr">
      <is>
        <t>HUGO OLIVEIRA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15" sId="1">
    <nc r="D165" t="inlineStr">
      <is>
        <t>12.999.219/0001-25</t>
      </is>
    </nc>
  </rcc>
  <rcc rId="2416" sId="1" xfDxf="1" s="1" dxf="1">
    <nc r="E166" t="inlineStr">
      <is>
        <t>SINDIBREF/JANEIRO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17" sId="1" xfDxf="1" s="1" dxf="1">
    <nc r="D166" t="inlineStr">
      <is>
        <t>07.030.719/0001-14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18" sId="1" xfDxf="1" dxf="1">
    <oc r="B166" t="inlineStr">
      <is>
        <t>ABAC MATRIZ                             SINDIBREF/JANEIRO                  07.030.719/0001-14</t>
      </is>
    </oc>
    <nc r="B166" t="inlineStr">
      <is>
        <t>ABBAC JF CENTRO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19" sId="1">
    <nc r="F166" t="inlineStr">
      <is>
        <t>Associação</t>
      </is>
    </nc>
  </rcc>
  <rcc rId="2420" sId="2" xfDxf="1" dxf="1">
    <oc r="B276" t="inlineStr">
      <is>
        <t>Abbac</t>
      </is>
    </oc>
    <nc r="B276" t="inlineStr">
      <is>
        <t>ABBAC JF CENTRO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21" sId="1" xfDxf="1" s="1" dxf="1">
    <nc r="E167" t="inlineStr">
      <is>
        <t>SINDIBREF/JANEIRO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22" sId="1" xfDxf="1" s="1" dxf="1">
    <nc r="D167" t="inlineStr">
      <is>
        <t>07.030.719/0002-03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23" sId="1" xfDxf="1" dxf="1">
    <oc r="B167" t="inlineStr">
      <is>
        <t>ABAC  BOM JARDIM                           SINDIBREF/JANEIRO          07.030.719/0002-03</t>
      </is>
    </oc>
    <nc r="B167" t="inlineStr">
      <is>
        <t>ABBAC BOM JARDIM MG</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24" sId="1">
    <nc r="F167" t="inlineStr">
      <is>
        <t>Associação</t>
      </is>
    </nc>
  </rcc>
  <rrc rId="2425" sId="2" ref="A277:XFD27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26" sId="2">
    <nc r="A277">
      <v>483</v>
    </nc>
  </rcc>
  <rcc rId="2427" sId="2" xfDxf="1" dxf="1">
    <nc r="B277" t="inlineStr">
      <is>
        <t>ABBAC BOM JARDIM MG</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28" sId="1">
    <nc r="E168" t="inlineStr">
      <is>
        <t>SINDIBREF/JANEIRO</t>
      </is>
    </nc>
  </rcc>
  <rcc rId="2429" sId="1">
    <nc r="E169" t="inlineStr">
      <is>
        <t>SINDIBREF/JANEIRO</t>
      </is>
    </nc>
  </rcc>
  <rcc rId="2430" sId="1">
    <nc r="E170" t="inlineStr">
      <is>
        <t>SINDIBREF/JANEIRO</t>
      </is>
    </nc>
  </rcc>
  <rcc rId="2431" sId="1">
    <nc r="E172" t="inlineStr">
      <is>
        <t>SINDIBREF/JANEIRO</t>
      </is>
    </nc>
  </rcc>
  <rcc rId="2432" sId="1">
    <nc r="E174" t="inlineStr">
      <is>
        <t>SINDIBREF/JANEIRO</t>
      </is>
    </nc>
  </rcc>
  <rcc rId="2433" sId="1" xfDxf="1" s="1" dxf="1">
    <nc r="D168" t="inlineStr">
      <is>
        <t>07.030.719/0003-86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34" sId="1">
    <nc r="F168" t="inlineStr">
      <is>
        <t>Associação</t>
      </is>
    </nc>
  </rcc>
  <rcc rId="2435" sId="1">
    <nc r="F169" t="inlineStr">
      <is>
        <t>Associação</t>
      </is>
    </nc>
  </rcc>
  <rcc rId="2436" sId="1">
    <nc r="F170" t="inlineStr">
      <is>
        <t>Associação</t>
      </is>
    </nc>
  </rcc>
  <rcc rId="2437" sId="1">
    <nc r="F171" t="inlineStr">
      <is>
        <t>Associação</t>
      </is>
    </nc>
  </rcc>
  <rcc rId="2438" sId="1">
    <nc r="F172" t="inlineStr">
      <is>
        <t>Associação</t>
      </is>
    </nc>
  </rcc>
  <rcc rId="2439" sId="1">
    <nc r="F173" t="inlineStr">
      <is>
        <t>Associação</t>
      </is>
    </nc>
  </rcc>
  <rcc rId="2440" sId="1">
    <nc r="F174" t="inlineStr">
      <is>
        <t>Associação</t>
      </is>
    </nc>
  </rcc>
  <rcc rId="2441" sId="1">
    <nc r="F175" t="inlineStr">
      <is>
        <t>Associação</t>
      </is>
    </nc>
  </rcc>
  <rcc rId="2442" sId="1">
    <nc r="F176" t="inlineStr">
      <is>
        <t>Associação</t>
      </is>
    </nc>
  </rcc>
  <rcc rId="2443" sId="1">
    <nc r="F177" t="inlineStr">
      <is>
        <t>Associação</t>
      </is>
    </nc>
  </rcc>
  <rcc rId="2444" sId="1">
    <nc r="F178" t="inlineStr">
      <is>
        <t>Associação</t>
      </is>
    </nc>
  </rcc>
  <rcc rId="2445" sId="1" xfDxf="1" dxf="1">
    <oc r="B168" t="inlineStr">
      <is>
        <t>ABAC LIMA DUARTE                SINDIBREF/JANEIRO                 07.030.719/0003-86</t>
      </is>
    </oc>
    <nc r="B168" t="inlineStr">
      <is>
        <t>ABBAC LIMA DUARTE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46" sId="1" xfDxf="1" s="1" dxf="1">
    <nc r="D169" t="inlineStr">
      <is>
        <t>07.030.719/0005-48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47" sId="1" xfDxf="1" dxf="1">
    <oc r="B169" t="inlineStr">
      <is>
        <t>ABAC RIO NOVO                        SINDIBREF/JANEIRO             07.030.719/0005-48</t>
      </is>
    </oc>
    <nc r="B169" t="inlineStr">
      <is>
        <t>ABBAC RIO NOVO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rc rId="2448" sId="2" ref="A279:XFD279"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49" sId="2">
    <nc r="A279">
      <v>485</v>
    </nc>
  </rcc>
  <rcc rId="2450" sId="2" xfDxf="1" dxf="1">
    <nc r="B279" t="inlineStr">
      <is>
        <t>ABBAC RIO NOVO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51" sId="1" xfDxf="1" s="1" dxf="1">
    <nc r="D170" t="inlineStr">
      <is>
        <t xml:space="preserve"> 07.030.719/0006-29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52" sId="1" xfDxf="1" dxf="1">
    <oc r="B170" t="inlineStr">
      <is>
        <t>ABAC ANDRELANDIA                    SINDIBREF/JANEIRO                          07.030.719/0006-29</t>
      </is>
    </oc>
    <nc r="B170" t="inlineStr">
      <is>
        <t>ABBAC ANDRELANDIA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53" sId="1" xfDxf="1" dxf="1">
    <oc r="B171" t="inlineStr">
      <is>
        <t>ABAC DESCOBERTO</t>
      </is>
    </oc>
    <nc r="B171" t="inlineStr">
      <is>
        <t>ABBAC DESCOBERTO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54" sId="1" xfDxf="1" s="1" dxf="1">
    <nc r="D171" t="inlineStr">
      <is>
        <t>07.030.719/0007-00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2455" sId="2" ref="A281:XFD281"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56" sId="2">
    <nc r="A281">
      <v>487</v>
    </nc>
  </rcc>
  <rcc rId="2457" sId="2" xfDxf="1" dxf="1">
    <nc r="B281" t="inlineStr">
      <is>
        <t>ABBAC DESCOBERTO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58" sId="1" xfDxf="1" s="1" dxf="1">
    <nc r="D172" t="inlineStr">
      <is>
        <t>07.030.719/0008-90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59" sId="1" xfDxf="1" dxf="1">
    <oc r="B172" t="inlineStr">
      <is>
        <t>ABAC CATAGUASES                         SINDIBREF/JANEIRO                07.030.719/0008-90</t>
      </is>
    </oc>
    <nc r="B172" t="inlineStr">
      <is>
        <t>ABBAC CATAGUASES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rc rId="2460" sId="2" ref="A282:XFD28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61" sId="2">
    <nc r="A282">
      <v>488</v>
    </nc>
  </rcc>
  <rcc rId="2462" sId="2" xfDxf="1" dxf="1">
    <nc r="B282" t="inlineStr">
      <is>
        <t>ABBAC CATAGUASES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63" sId="1" xfDxf="1" dxf="1">
    <oc r="B173" t="inlineStr">
      <is>
        <t>ABAC GUIRICEMA</t>
      </is>
    </oc>
    <nc r="B173" t="inlineStr">
      <is>
        <t>ABBAC GUIRICEMA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protection locked="0"/>
    </ndxf>
  </rcc>
  <rrc rId="2464" sId="2" ref="A283:XFD283"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65" sId="2">
    <nc r="A283">
      <v>489</v>
    </nc>
  </rcc>
  <rcc rId="2466" sId="2" xfDxf="1" dxf="1">
    <nc r="B283" t="inlineStr">
      <is>
        <t>ABBAC GUIRICEMA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67" sId="1" xfDxf="1" s="1" dxf="1">
    <nc r="D173" t="inlineStr">
      <is>
        <t>07.030.719/0009-71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68" sId="1" xfDxf="1" s="1" dxf="1">
    <nc r="D174" t="inlineStr">
      <is>
        <t>07.030.719/0010-05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69" sId="1" xfDxf="1" dxf="1">
    <oc r="B174" t="inlineStr">
      <is>
        <t>ABAC LEOPOLDINA                    SINDIBREF/JANEIRO                07.030.719/0010-05</t>
      </is>
    </oc>
    <nc r="B174" t="inlineStr">
      <is>
        <t>ABBAC LEOPOLDINA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rc rId="2470" sId="2" ref="A284:XFD28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71" sId="2">
    <nc r="A284">
      <v>490</v>
    </nc>
  </rcc>
  <rcc rId="2472" sId="2" xfDxf="1" dxf="1">
    <nc r="B284" t="inlineStr">
      <is>
        <t>ABBAC LEOPOLDINA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73" sId="1" xfDxf="1" dxf="1">
    <oc r="B175" t="inlineStr">
      <is>
        <t>ABAC BENFICA (LIMA DUARTE)</t>
      </is>
    </oc>
    <nc r="B175" t="inlineStr">
      <is>
        <t>ABBAC JF BENFICA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protection locked="0"/>
    </ndxf>
  </rcc>
  <rrc rId="2474" sId="2" ref="A285:XFD28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75" sId="2">
    <nc r="A285">
      <v>491</v>
    </nc>
  </rcc>
  <rcc rId="2476" sId="2" xfDxf="1" dxf="1">
    <nc r="B285" t="inlineStr">
      <is>
        <t>ABBAC JF BENFICA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77" sId="1" xfDxf="1" s="1" dxf="1">
    <nc r="D175" t="inlineStr">
      <is>
        <t>07.030.719/0011-96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78" sId="1" xfDxf="1" dxf="1">
    <oc r="B176" t="inlineStr">
      <is>
        <t>ABAC PIEDADE DO RIO GRANDE</t>
      </is>
    </oc>
    <nc r="B176" t="inlineStr">
      <is>
        <t>ABBAC VISTA ALEGRE</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protection locked="0"/>
    </ndxf>
  </rcc>
  <rrc rId="2479" sId="2" ref="A286:XFD286"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80" sId="2">
    <nc r="A286">
      <v>492</v>
    </nc>
  </rcc>
  <rcc rId="2481" sId="2" xfDxf="1" dxf="1">
    <nc r="B286" t="inlineStr">
      <is>
        <t>ABBAC VISTA ALEGRE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rc rId="2482" sId="2" ref="A287:XFD28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483" sId="2">
    <nc r="A287">
      <v>493</v>
    </nc>
  </rcc>
  <rcc rId="2484" sId="1" xfDxf="1" s="1" dxf="1">
    <nc r="D176" t="inlineStr">
      <is>
        <t>07.030.719/0012-77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85" sId="1" xfDxf="1" dxf="1">
    <oc r="B177" t="inlineStr">
      <is>
        <t>ABAC SANTOS DUMONT</t>
      </is>
    </oc>
    <nc r="B177" t="inlineStr">
      <is>
        <t>ABBAC SANTOS DUMOND</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protection locked="0"/>
    </ndxf>
  </rcc>
  <rcc rId="2486" sId="2" xfDxf="1" dxf="1">
    <nc r="B287" t="inlineStr">
      <is>
        <t>ABBAC SANTOS DUMOND</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87" sId="1" xfDxf="1" s="1" dxf="1">
    <nc r="D177" t="inlineStr">
      <is>
        <t>07.030.719/0013-58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88" sId="1" xfDxf="1" s="1" dxf="1">
    <nc r="E179" t="inlineStr">
      <is>
        <t>SINDIBREF  RJ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2489" sheetId="1" source="E179" destination="E178" sourceSheetId="1">
    <rfmt sheetId="1" s="1" sqref="E178"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m>
  <rcc rId="2490" sId="1" xfDxf="1" s="1" dxf="1">
    <nc r="D178" t="inlineStr">
      <is>
        <t>07.030.719/0014-39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91" sId="1" xfDxf="1" dxf="1">
    <oc r="B178" t="inlineStr">
      <is>
        <t>ABAC  ANGRA DOS REIS                     SINDIBREF  RJ /JANEIRO                                          07.030.719/0014-39</t>
      </is>
    </oc>
    <nc r="B178" t="inlineStr">
      <is>
        <t>ABBAC ANGRA DOS REIS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92" sId="1" xfDxf="1" s="1" dxf="1">
    <nc r="D179" t="inlineStr">
      <is>
        <t>09.563.577/0001-86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493" sId="1" xfDxf="1" dxf="1">
    <nc r="E179" t="inlineStr">
      <is>
        <t>sind: comércio da federação data base: Janeiro</t>
      </is>
    </nc>
    <ndxf>
      <font>
        <sz val="9"/>
        <name val="Arial"/>
        <scheme val="none"/>
      </font>
    </ndxf>
  </rcc>
  <rfmt sheetId="1" sqref="E179">
    <dxf>
      <alignment vertical="center" readingOrder="0"/>
    </dxf>
  </rfmt>
  <rfmt sheetId="1" sqref="E179">
    <dxf>
      <alignment horizontal="center" readingOrder="0"/>
    </dxf>
  </rfmt>
  <rfmt sheetId="1" sqref="E179" start="0" length="2147483647">
    <dxf>
      <font>
        <u/>
      </font>
    </dxf>
  </rfmt>
  <rfmt sheetId="1" sqref="E179" start="0" length="2147483647">
    <dxf>
      <font>
        <color theme="4" tint="0.79998168889431442"/>
      </font>
    </dxf>
  </rfmt>
  <rfmt sheetId="1" sqref="E179" start="0" length="2147483647">
    <dxf>
      <font>
        <color theme="4" tint="-0.249977111117893"/>
      </font>
    </dxf>
  </rfmt>
  <rcc rId="2494" sId="1">
    <nc r="F179" t="inlineStr">
      <is>
        <t>Presumido</t>
      </is>
    </nc>
  </rcc>
  <rcc rId="2495" sId="1" xfDxf="1" dxf="1">
    <oc r="B179" t="inlineStr">
      <is>
        <t>AUTO CLUB sind: comércio da federação data base: Janeiro CNPJ:09.563.577/0001-86</t>
      </is>
    </oc>
    <nc r="B179" t="inlineStr">
      <is>
        <t>AUTO CLUB COMÉRCIO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496" sId="2" xfDxf="1" dxf="1">
    <oc r="B289" t="inlineStr">
      <is>
        <t>AUTO CLUB COMÉRCIO E REVENDA DE VEÍC</t>
      </is>
    </oc>
    <nc r="B289" t="inlineStr">
      <is>
        <t>AUTO CLUB COMÉRCIO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497" sId="1" xfDxf="1" s="1" dxf="1">
    <nc r="E184" t="inlineStr">
      <is>
        <t>COMERCIO/TRANSPORTE OUTUBRO/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2498" sheetId="1" source="E184" destination="E180" sourceSheetId="1">
    <rfmt sheetId="1" s="1" sqref="E180"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m>
  <rcc rId="2499" sId="1" xfDxf="1" s="1" dxf="1">
    <nc r="D180" t="inlineStr">
      <is>
        <t>02.771.680/0001-72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00" sId="1">
    <nc r="F180" t="inlineStr">
      <is>
        <t>Presumido</t>
      </is>
    </nc>
  </rcc>
  <rcc rId="2501" sId="1" xfDxf="1" dxf="1">
    <oc r="B180" t="inlineStr">
      <is>
        <t>MULTIPLA SAUDE COMERCIO/TRANSPORTE OUTUBRO/ MAIO                                                   02.771.680/0001-72</t>
      </is>
    </oc>
    <nc r="B180" t="inlineStr">
      <is>
        <t>MULTIPLA SAUDE</t>
      </is>
    </nc>
    <ndxf>
      <font>
        <sz val="9"/>
        <color auto="1"/>
        <name val="Arial"/>
        <scheme val="none"/>
      </font>
      <fill>
        <patternFill patternType="solid">
          <bgColor rgb="FFFFFF0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502" sId="2" xfDxf="1" dxf="1">
    <oc r="B290" t="inlineStr">
      <is>
        <t>MULTIPLA</t>
      </is>
    </oc>
    <nc r="B290" t="inlineStr">
      <is>
        <t>MULTIPLA SAUDE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qref="B181" start="0" length="0">
    <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protection locked="0"/>
    </dxf>
  </rfmt>
  <rcc rId="2503" sId="1">
    <oc r="B181" t="inlineStr">
      <is>
        <t>MULTIPLA SAUDE</t>
      </is>
    </oc>
    <nc r="B181" t="inlineStr">
      <is>
        <t>MULTIPLA SAUDE FILIAL</t>
      </is>
    </nc>
  </rcc>
  <rcc rId="2504" sId="1">
    <nc r="F181" t="inlineStr">
      <is>
        <t>Presumido</t>
      </is>
    </nc>
  </rcc>
  <rrc rId="2505" sId="2" ref="A291:XFD291"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06" sId="2">
    <nc r="A291">
      <v>497</v>
    </nc>
  </rcc>
  <rfmt sheetId="2" xfDxf="1" sqref="B291"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2507" sId="2">
    <nc r="B291" t="inlineStr">
      <is>
        <t>MULTIPLA SAUDE FILIAL</t>
      </is>
    </nc>
  </rcc>
  <rcc rId="2508" sId="1" xfDxf="1" s="1" dxf="1">
    <nc r="D181" t="inlineStr">
      <is>
        <t>02.771.680/0002-53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09" sId="1" xfDxf="1" dxf="1">
    <oc r="B182" t="inlineStr">
      <is>
        <t>CAIO TIRAPANI SOCIEDADE DE ADVOGADOS</t>
      </is>
    </oc>
    <nc r="B182" t="inlineStr">
      <is>
        <t>CAIO TIRAPANI</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rc rId="2510" sId="2" ref="A292:XFD29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11" sId="2">
    <nc r="A292">
      <v>499</v>
    </nc>
  </rcc>
  <rcc rId="2512" sId="2" xfDxf="1" dxf="1">
    <nc r="B292" t="inlineStr">
      <is>
        <t>CAIO TIRAPANI</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13" sId="1" xfDxf="1" s="1" dxf="1">
    <nc r="D182" t="inlineStr">
      <is>
        <t>24.779.070/0001-58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14" sId="1">
    <nc r="F182" t="inlineStr">
      <is>
        <t>Simples</t>
      </is>
    </nc>
  </rcc>
  <rfmt sheetId="1" xfDxf="1" sqref="B183"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dxf>
  </rfmt>
  <rfmt sheetId="1" xfDxf="1" sqref="B183"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dxf>
  </rfmt>
  <rrc rId="2515" sId="2" ref="A293:XFD293"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16" sId="2">
    <nc r="A293">
      <v>501</v>
    </nc>
  </rcc>
  <rcc rId="2517" sId="2" xfDxf="1" dxf="1">
    <nc r="B293" t="inlineStr">
      <is>
        <t>ISADORA M. BATALHA - ME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18" sId="1" xfDxf="1" s="1" dxf="1">
    <nc r="D183" t="inlineStr">
      <is>
        <t>24.526.247/0001-04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19" sId="1">
    <nc r="F183" t="inlineStr">
      <is>
        <t>Simples</t>
      </is>
    </nc>
  </rcc>
  <rcc rId="2520" sId="1" xfDxf="1" dxf="1">
    <nc r="E184" t="inlineStr">
      <is>
        <t>SINDICATO DA SAÚDE - MAIO</t>
      </is>
    </nc>
    <ndxf>
      <font>
        <sz val="8"/>
        <name val="Arial"/>
        <scheme val="none"/>
      </font>
    </ndxf>
  </rcc>
  <rfmt sheetId="1" sqref="E184">
    <dxf>
      <alignment horizontal="center" readingOrder="0"/>
    </dxf>
  </rfmt>
  <rfmt sheetId="1" sqref="E184">
    <dxf>
      <alignment vertical="center" readingOrder="0"/>
    </dxf>
  </rfmt>
  <rfmt sheetId="1" sqref="E184" start="0" length="2147483647">
    <dxf>
      <font>
        <u/>
      </font>
    </dxf>
  </rfmt>
  <rfmt sheetId="1" sqref="E184" start="0" length="2147483647">
    <dxf>
      <font>
        <color theme="4" tint="-0.249977111117893"/>
      </font>
    </dxf>
  </rfmt>
  <rcc rId="2521" sId="1">
    <nc r="F184" t="inlineStr">
      <is>
        <t>CEI</t>
      </is>
    </nc>
  </rcc>
  <rcc rId="2522" sId="1" xfDxf="1" dxf="1">
    <oc r="B184" t="inlineStr">
      <is>
        <t xml:space="preserve">MARIA AUGUSTA DE PAULA RODRIGUES TORRES                                         SINDICATO DA SAÚDE - MAIO      334900211203                                                               </t>
      </is>
    </oc>
    <nc r="B184" t="inlineStr">
      <is>
        <t>MARIA AUGUSTA</t>
      </is>
    </nc>
    <ndxf>
      <font>
        <sz val="8"/>
        <color auto="1"/>
        <name val="Arial"/>
        <scheme val="none"/>
      </font>
      <fill>
        <patternFill patternType="solid">
          <bgColor rgb="FFFFFF0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523" sId="1">
    <nc r="D184" t="inlineStr">
      <is>
        <t>CEI 334900211203</t>
      </is>
    </nc>
  </rcc>
  <rfmt sheetId="1" sqref="B186" start="0" length="0">
    <dxf>
      <font>
        <sz val="8"/>
        <color auto="1"/>
      </font>
    </dxf>
  </rfmt>
  <rcc rId="2524" sId="1" xfDxf="1" s="1" dxf="1">
    <nc r="E186" t="inlineStr">
      <is>
        <t>METALURGICO/SETEMBRO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25" sId="1" xfDxf="1" s="1" dxf="1">
    <nc r="D186" t="inlineStr">
      <is>
        <t>16.904.245/0001-83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26" sId="1" xfDxf="1" dxf="1">
    <oc r="B186" t="inlineStr">
      <is>
        <t>RODRICAR LANTERNAGEM E PINTURA METALURGICO/SETEMBRO       16.904.245/0001-83</t>
      </is>
    </oc>
    <nc r="B186" t="inlineStr">
      <is>
        <t>RODRICAR LANTERNAGEM</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protection locked="0"/>
    </ndxf>
  </rcc>
  <rfmt sheetId="1" sqref="B186">
    <dxf>
      <alignment vertical="center" readingOrder="0"/>
    </dxf>
  </rfmt>
  <rcc rId="2527" sId="2" xfDxf="1" dxf="1">
    <oc r="B296" t="inlineStr">
      <is>
        <t>RODRICAR</t>
      </is>
    </oc>
    <nc r="B296" t="inlineStr">
      <is>
        <t>RODRICAR LANTERNAGEM</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28" sId="1">
    <nc r="F186" t="inlineStr">
      <is>
        <t>Simples</t>
      </is>
    </nc>
  </rcc>
  <rcc rId="2529" sId="1" xfDxf="1" dxf="1">
    <oc r="B187" t="inlineStr">
      <is>
        <t>DSM PISCINAS</t>
      </is>
    </oc>
    <nc r="B187" t="inlineStr">
      <is>
        <t>DSM COMERCIO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rc rId="2530" sId="2" ref="A295:XFD29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31" sId="2">
    <nc r="A295">
      <v>503</v>
    </nc>
  </rcc>
  <rcc rId="2532" sId="2" xfDxf="1" dxf="1">
    <nc r="B295" t="inlineStr">
      <is>
        <t>DSM COMERCIO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33" sId="1" xfDxf="1" s="1" dxf="1">
    <nc r="D187" t="inlineStr">
      <is>
        <t>24.204.263/0001-80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34" sId="1" xfDxf="1" s="1" dxf="1">
    <nc r="D188" t="inlineStr">
      <is>
        <t>14.572.530/0007-04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35" sId="1">
    <nc r="F188" t="inlineStr">
      <is>
        <t>Presumido</t>
      </is>
    </nc>
  </rcc>
  <rcc rId="2536" sId="1" xfDxf="1" dxf="1">
    <oc r="B188" t="inlineStr">
      <is>
        <t>APEL GRAFICA E EDITORA LTDA</t>
      </is>
    </oc>
    <nc r="B188" t="inlineStr">
      <is>
        <t>APEL GRAFICA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rc rId="2537" sId="2" ref="A300:XFD300"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38" sId="2">
    <nc r="A300">
      <v>511</v>
    </nc>
  </rcc>
  <rcc rId="2539" sId="2" xfDxf="1" dxf="1">
    <nc r="B300" t="inlineStr">
      <is>
        <t>APEL GRAFICA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40" sId="1" xfDxf="1" s="1" dxf="1">
    <nc r="D189" t="inlineStr">
      <is>
        <t>261.859.626-91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41" sId="1" xfDxf="1" dxf="1">
    <oc r="B189" t="inlineStr">
      <is>
        <t xml:space="preserve">MARCO ANTONIO VIEIRA DOMESTICA </t>
      </is>
    </oc>
    <nc r="B189" t="inlineStr">
      <is>
        <t>MARCO ANTONIO VIEIRA</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protection locked="0"/>
    </ndxf>
  </rcc>
  <rcc rId="2542" sId="2" xfDxf="1" dxf="1">
    <oc r="B302" t="inlineStr">
      <is>
        <t>MARCO ANTONIO COELHO DOMESTICA</t>
      </is>
    </oc>
    <nc r="B302" t="inlineStr">
      <is>
        <t>MARCO ANTONIO VIEIRA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43" sId="1">
    <nc r="F189" t="inlineStr">
      <is>
        <t>Doméstica</t>
      </is>
    </nc>
  </rcc>
  <rcc rId="2544" sId="1" xfDxf="1" s="1" dxf="1">
    <nc r="D190" t="inlineStr">
      <is>
        <t>598.999.137-15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45" sId="1" xfDxf="1" dxf="1">
    <oc r="B190" t="inlineStr">
      <is>
        <t>JOSE LISTER (PHI) DOMESTICA</t>
      </is>
    </oc>
    <nc r="B190" t="inlineStr">
      <is>
        <t>JOSE LISTER DE SOUZA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546" sId="1">
    <nc r="F190" t="inlineStr">
      <is>
        <t>Doméstica</t>
      </is>
    </nc>
  </rcc>
  <rcc rId="2547" sId="2" xfDxf="1" dxf="1">
    <oc r="B303" t="inlineStr">
      <is>
        <t>José lister</t>
      </is>
    </oc>
    <nc r="B303" t="inlineStr">
      <is>
        <t>JOSE LISTER DE SOUZA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48" sId="1" xfDxf="1" s="1" dxf="1">
    <nc r="E191" t="inlineStr">
      <is>
        <t>Data base -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49" sId="1" xfDxf="1" s="1" dxf="1">
    <nc r="D191" t="inlineStr">
      <is>
        <t>25.092.357/0001-78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50" sId="1" xfDxf="1" dxf="1">
    <oc r="B191" t="inlineStr">
      <is>
        <t xml:space="preserve">IN JF SHOPPING CLINICA ODONTOLOGICA LTDA-ME                             25.092.357/0001-78                 Data base - MAIO                                                               </t>
      </is>
    </oc>
    <nc r="B191" t="inlineStr">
      <is>
        <t>IN JF SHOPPING</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551" sId="1">
    <nc r="F191" t="inlineStr">
      <is>
        <t>Simples</t>
      </is>
    </nc>
  </rcc>
  <rcc rId="2552" sId="1" xfDxf="1" dxf="1">
    <oc r="B192" t="inlineStr">
      <is>
        <t>NINA VEIGA ATELIER LTDA - ME</t>
      </is>
    </oc>
    <nc r="B192" t="inlineStr">
      <is>
        <t>NINA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protection locked="0"/>
    </ndxf>
  </rcc>
  <rcc rId="2553" sId="1">
    <nc r="F192" t="inlineStr">
      <is>
        <t>Simples</t>
      </is>
    </nc>
  </rcc>
  <rrc rId="2554" sId="2" ref="A307:XFD30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55" sId="2">
    <nc r="A307">
      <v>529</v>
    </nc>
  </rcc>
  <rcc rId="2556" sId="2" xfDxf="1" dxf="1">
    <nc r="B307" t="inlineStr">
      <is>
        <t>NINA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protection locked="0"/>
    </ndxf>
  </rcc>
  <rcc rId="2557" sId="1" xfDxf="1" s="1" dxf="1">
    <nc r="D192" t="inlineStr">
      <is>
        <t>10.421.254/0001-37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58" sId="1">
    <nc r="F193" t="inlineStr">
      <is>
        <t>Simples</t>
      </is>
    </nc>
  </rcc>
  <rcc rId="2559" sId="1" xfDxf="1" dxf="1">
    <oc r="B193" t="inlineStr">
      <is>
        <t>LUCIANE DE SOUZA SILVA - ME (FILIAL)</t>
      </is>
    </oc>
    <nc r="B193" t="inlineStr">
      <is>
        <t>DELICK FILIAL</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560" sId="2" ref="A313:XFD313"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61" sId="2">
    <nc r="A313">
      <v>532</v>
    </nc>
  </rcc>
  <rcc rId="2562" sId="2" xfDxf="1" dxf="1">
    <nc r="B313" t="inlineStr">
      <is>
        <t>DELICK FILIAL</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63" sId="1" xfDxf="1" s="1" dxf="1">
    <nc r="D193" t="inlineStr">
      <is>
        <t>09.400.376/0002-49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64" sId="1" xfDxf="1" s="1" dxf="1">
    <nc r="E194" t="inlineStr">
      <is>
        <t>sind: comércio 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65" sId="1" xfDxf="1" s="1" dxf="1">
    <nc r="D194" t="inlineStr">
      <is>
        <t>25.287.366/0001-14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66" sId="1">
    <nc r="F194" t="inlineStr">
      <is>
        <t>Simples</t>
      </is>
    </nc>
  </rcc>
  <rcc rId="2567" sId="1" xfDxf="1" dxf="1">
    <oc r="B194" t="inlineStr">
      <is>
        <t>VT BIJUTERIAS 2015 LTDA - ME sind: comércio data base: Outubro  CNPJ: 25.287.366/0001-14</t>
      </is>
    </oc>
    <nc r="B194" t="inlineStr">
      <is>
        <t>VT BIJUTERIAS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68" sId="2" xfDxf="1" dxf="1">
    <oc r="B314" t="inlineStr">
      <is>
        <t>VT BIJUTERIA</t>
      </is>
    </oc>
    <nc r="B314" t="inlineStr">
      <is>
        <t>VT BIJUTERIAS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69" sId="1" xfDxf="1" s="1" dxf="1">
    <nc r="E195" t="inlineStr">
      <is>
        <t>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70" sId="1" xfDxf="1" s="1" dxf="1">
    <nc r="D195" t="inlineStr">
      <is>
        <t xml:space="preserve">14.510.243/0001-84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71" sId="1">
    <nc r="F195" t="inlineStr">
      <is>
        <t>Simples</t>
      </is>
    </nc>
  </rcc>
  <rcc rId="2572" sId="1" xfDxf="1" dxf="1">
    <oc r="B195" t="inlineStr">
      <is>
        <t>SERVIÇAL SERVIÇOS DE CALIBRAÇÃO LTDA - ME               Simples 14.510.243/0001-84            Data base: outubro</t>
      </is>
    </oc>
    <nc r="B195" t="inlineStr">
      <is>
        <t>SERVICAL</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573" sId="2" ref="A315:XFD31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74" sId="2">
    <nc r="A315">
      <v>535</v>
    </nc>
  </rcc>
  <rcc rId="2575" sId="2" xfDxf="1" dxf="1">
    <nc r="B315" t="inlineStr">
      <is>
        <t>SERVICAL</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76" sId="1" xfDxf="1" s="1" dxf="1">
    <nc r="D196" t="inlineStr">
      <is>
        <t>023.618.256-00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77" sId="1" xfDxf="1" dxf="1">
    <oc r="B196" t="inlineStr">
      <is>
        <t>JOSÉ SACRAMENTO FILHO (SEM DOMESTICA) Saiu</t>
      </is>
    </oc>
    <nc r="B196" t="inlineStr">
      <is>
        <t>JOSE SACRAMENTO FILHO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78" sId="1">
    <nc r="F196" t="inlineStr">
      <is>
        <t>Doméstica</t>
      </is>
    </nc>
  </rcc>
  <rcc rId="2579" sId="2" xfDxf="1" dxf="1">
    <oc r="B316" t="inlineStr">
      <is>
        <t>JOSÉ SACRAMENTO FILHO</t>
      </is>
    </oc>
    <nc r="B316" t="inlineStr">
      <is>
        <t>JOSE SACRAMENTO FILHO</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80" sId="1" xfDxf="1" s="1" dxf="1">
    <nc r="D197" t="inlineStr">
      <is>
        <t>729.382.776-87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81" sId="1" xfDxf="1" dxf="1">
    <oc r="B197" t="inlineStr">
      <is>
        <r>
          <t xml:space="preserve">DAYSE FERREIRA SOUSA </t>
        </r>
        <r>
          <rPr>
            <sz val="8"/>
            <color rgb="FFFF0000"/>
            <rFont val="Arial"/>
            <family val="2"/>
          </rPr>
          <t xml:space="preserve"> </t>
        </r>
      </is>
    </oc>
    <nc r="B197" t="inlineStr">
      <is>
        <t>DAYSE FERREIRA SOUSA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82" sId="1">
    <nc r="F197" t="inlineStr">
      <is>
        <t>Doméstica</t>
      </is>
    </nc>
  </rcc>
  <rrc rId="2583" sId="2" ref="A319:XFD319"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84" sId="2">
    <nc r="A319">
      <v>539</v>
    </nc>
  </rcc>
  <rcc rId="2585" sId="2" xfDxf="1" dxf="1">
    <nc r="B319" t="inlineStr">
      <is>
        <t>DAYSE FERREIRA SOUSA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86" sId="1" xfDxf="1" s="1" dxf="1">
    <nc r="D198" t="inlineStr">
      <is>
        <t>25.510.747/0001-10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87" sId="1" xfDxf="1" dxf="1">
    <oc r="B198" t="inlineStr">
      <is>
        <t>NOVUS CORRETORA DE SEGUROS LTDA - ME           25.510.747/0001-10                  Data Base:</t>
      </is>
    </oc>
    <nc r="B198" t="inlineStr">
      <is>
        <t>NOVUS CORRETORA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88" sId="1">
    <nc r="F198" t="inlineStr">
      <is>
        <t>Simples</t>
      </is>
    </nc>
  </rcc>
  <rcc rId="2589" sId="1" xfDxf="1" dxf="1">
    <oc r="B199" t="inlineStr">
      <is>
        <t>DON CAMALEON BARBER SHOP BARBEARIA LTDA - ME</t>
      </is>
    </oc>
    <nc r="B199" t="inlineStr">
      <is>
        <t>DON CAMALEON</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590" sId="1">
    <nc r="F199" t="inlineStr">
      <is>
        <t>Simples</t>
      </is>
    </nc>
  </rcc>
  <rcc rId="2591" sId="1" xfDxf="1" s="1" dxf="1">
    <nc r="D199" t="inlineStr">
      <is>
        <t>26.180.698/0001-68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92" sId="1" xfDxf="1" s="1" dxf="1">
    <nc r="E200" t="inlineStr">
      <is>
        <t>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93" sId="1" xfDxf="1" s="1" dxf="1">
    <nc r="D200" t="inlineStr">
      <is>
        <t>26.164.073/0001-02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594" sId="1">
    <nc r="F200" t="inlineStr">
      <is>
        <t>Simples</t>
      </is>
    </nc>
  </rcc>
  <rcc rId="2595" sId="1" xfDxf="1" dxf="1">
    <oc r="B200" t="inlineStr">
      <is>
        <t>L. R. CARVALHO - ME                                                           26.164.073/0001-02                               Data base: MAIO</t>
      </is>
    </oc>
    <nc r="B200" t="inlineStr">
      <is>
        <t>L. R. CARVALHO - ME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596" sId="2" ref="A324:XFD32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597" sId="2">
    <nc r="A324">
      <v>545</v>
    </nc>
  </rcc>
  <rcc rId="2598" sId="2" xfDxf="1" dxf="1">
    <nc r="B324" t="inlineStr">
      <is>
        <t>L. R. CARVALHO - ME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599" sId="1">
    <nc r="F201" t="inlineStr">
      <is>
        <t>Simples</t>
      </is>
    </nc>
  </rcc>
  <rfmt sheetId="1" xfDxf="1" sqref="B201" start="0" length="0">
    <dxf>
      <font>
        <sz val="9"/>
        <color auto="1"/>
        <name val="Arial"/>
        <scheme val="none"/>
      </font>
      <fill>
        <patternFill patternType="solid">
          <bgColor theme="9" tint="0.59999389629810485"/>
        </patternFill>
      </fill>
      <alignment horizontal="left" vertical="center" wrapText="1" readingOrder="0"/>
      <border outline="0">
        <left style="thin">
          <color indexed="64"/>
        </left>
        <right style="thin">
          <color indexed="64"/>
        </right>
        <top style="thin">
          <color indexed="64"/>
        </top>
        <bottom style="thin">
          <color indexed="64"/>
        </bottom>
      </border>
    </dxf>
  </rfmt>
  <rcc rId="2600" sId="1">
    <oc r="B201" t="inlineStr">
      <is>
        <t>AUTENTICA CONSULTORIA INDUSTRIAL</t>
      </is>
    </oc>
    <nc r="B201" t="inlineStr">
      <is>
        <t>AUTENTICA CONSULTORIA</t>
      </is>
    </nc>
  </rcc>
  <rrc rId="2601" sId="2" ref="A325:XFD325"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602" sId="2">
    <nc r="A325">
      <v>548</v>
    </nc>
  </rcc>
  <rfmt sheetId="2" xfDxf="1" sqref="B325"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2603" sId="2">
    <nc r="B325" t="inlineStr">
      <is>
        <t>AUTENTICA CONSULTORIA</t>
      </is>
    </nc>
  </rcc>
  <rcc rId="2604" sId="1" xfDxf="1" s="1" dxf="1">
    <nc r="D201" t="inlineStr">
      <is>
        <t>26.201.338/0001-03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05" sId="1" xfDxf="1" s="1" dxf="1">
    <nc r="D202" t="inlineStr">
      <is>
        <t>25.993.808/0001-48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06" sId="1">
    <nc r="F202" t="inlineStr">
      <is>
        <t>SIMEI</t>
      </is>
    </nc>
  </rcc>
  <rcc rId="2607" sId="1" xfDxf="1" dxf="1">
    <oc r="B202" t="inlineStr">
      <is>
        <t>LUCIANA MACHADO FIEL CARDOSO 01441631607</t>
      </is>
    </oc>
    <nc r="B202" t="inlineStr">
      <is>
        <t>LUCIANA MACHADO FIEL</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608" sId="2" ref="A326:XFD326"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609" sId="2">
    <nc r="A326">
      <v>550</v>
    </nc>
  </rcc>
  <rcc rId="2610" sId="2" xfDxf="1" dxf="1">
    <nc r="B326" t="inlineStr">
      <is>
        <t>LUCIANA MACHADO FIEL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11" sId="1">
    <nc r="F203" t="inlineStr">
      <is>
        <t>Simples</t>
      </is>
    </nc>
  </rcc>
  <rfmt sheetId="1" xfDxf="1" sqref="B203"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2" xfDxf="1" sqref="B327"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2612" sId="2">
    <oc r="B327" t="inlineStr">
      <is>
        <t>Dona Martha</t>
      </is>
    </oc>
    <nc r="B327" t="inlineStr">
      <is>
        <t>DONA MARTHA MARIA</t>
      </is>
    </nc>
  </rcc>
  <rcc rId="2613" sId="1">
    <oc r="B203" t="inlineStr">
      <is>
        <t>DONA MARTHA</t>
      </is>
    </oc>
    <nc r="B203" t="inlineStr">
      <is>
        <t>DONA MARTHA MARIA</t>
      </is>
    </nc>
  </rcc>
  <rcc rId="2614" sId="1" xfDxf="1" s="1" dxf="1">
    <nc r="D203" t="inlineStr">
      <is>
        <t>26.632.015/0001-66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204" start="0" length="0">
    <dxf>
      <font>
        <sz val="8"/>
        <color auto="1"/>
      </font>
    </dxf>
  </rfmt>
  <rcc rId="2615" sId="1" xfDxf="1" s="1" dxf="1">
    <nc r="E204" t="inlineStr">
      <is>
        <t>BARES/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16" sId="1" xfDxf="1" s="1" dxf="1">
    <nc r="D204" t="inlineStr">
      <is>
        <t>11.105.223/0002-10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17" sId="1">
    <nc r="F204" t="inlineStr">
      <is>
        <t>Simples</t>
      </is>
    </nc>
  </rcc>
  <rcc rId="2618" sId="1" xfDxf="1" dxf="1">
    <oc r="B204" t="inlineStr">
      <is>
        <t>RESIDENCIAL GERIATRICO FILIAL                  BARES/ MAIO                                   11.105.223/0002-10</t>
      </is>
    </oc>
    <nc r="B204" t="inlineStr">
      <is>
        <t>REGAPI FILIAL</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204">
    <dxf>
      <alignment vertical="center" readingOrder="0"/>
    </dxf>
  </rfmt>
  <rcc rId="2619" sId="1" xfDxf="1" dxf="1">
    <oc r="B205" t="inlineStr">
      <is>
        <t>JF IMPORTADORA LTDA - ME</t>
      </is>
    </oc>
    <nc r="B205" t="inlineStr">
      <is>
        <t>JF IMPORTADORA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20" sId="1">
    <nc r="F205" t="inlineStr">
      <is>
        <t>Simples</t>
      </is>
    </nc>
  </rcc>
  <rrc rId="2621" sId="2" ref="A327:XFD32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622" sId="2">
    <nc r="A327">
      <v>554</v>
    </nc>
  </rcc>
  <rcc rId="2623" sId="2" xfDxf="1" dxf="1">
    <nc r="B327" t="inlineStr">
      <is>
        <t>JF IMPORTADORA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24" sId="1" xfDxf="1" s="1" dxf="1">
    <nc r="D205" t="inlineStr">
      <is>
        <t>26.563.805/0001-37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25" sId="1">
    <nc r="F206" t="inlineStr">
      <is>
        <t>Simples</t>
      </is>
    </nc>
  </rcc>
  <rcc rId="2626" sId="1" xfDxf="1" s="1" dxf="1">
    <nc r="E206" t="inlineStr">
      <is>
        <t>Data base Simprafarma outubro   Sinfarmig: março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E206" start="0" length="2147483647">
    <dxf>
      <font>
        <sz val="9.4"/>
      </font>
    </dxf>
  </rfmt>
  <rcc rId="2627" sId="1" xfDxf="1" s="1" dxf="1">
    <nc r="D206" t="inlineStr">
      <is>
        <t>66.264.995/0001-06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28" sId="1" xfDxf="1" dxf="1">
    <oc r="B206" t="inlineStr">
      <is>
        <t>FARMARTE-FARMACIA MANIPULACAO E PRODUTOS NATURAIS LTDA - EPP                      Simples  66.264.995/0001-06    Data base Simprafarma outubro   Sinfarmig: março</t>
      </is>
    </oc>
    <nc r="B206" t="inlineStr">
      <is>
        <t>FARMARTE-FARMACIA</t>
      </is>
    </nc>
    <ndxf>
      <font>
        <sz val="8"/>
        <color auto="1"/>
        <name val="Arial"/>
        <scheme val="none"/>
      </font>
      <fill>
        <patternFill patternType="solid">
          <bgColor theme="0"/>
        </patternFill>
      </fill>
      <alignment horizontal="left" vertical="top" wrapText="1" readingOrder="0"/>
      <border outline="0">
        <left style="thin">
          <color indexed="64"/>
        </left>
        <right style="thin">
          <color indexed="64"/>
        </right>
        <top style="thin">
          <color indexed="64"/>
        </top>
        <bottom style="thin">
          <color indexed="64"/>
        </bottom>
      </border>
    </ndxf>
  </rcc>
  <rfmt sheetId="1" sqref="B206">
    <dxf>
      <alignment vertical="center" readingOrder="0"/>
    </dxf>
  </rfmt>
  <rcc rId="2629" sId="2" xfDxf="1" dxf="1">
    <oc r="B329" t="inlineStr">
      <is>
        <t>FARMARTE</t>
      </is>
    </oc>
    <nc r="B329" t="inlineStr">
      <is>
        <t>FARMARTE-FARMACIA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30" sId="1">
    <nc r="F207" t="inlineStr">
      <is>
        <t>Presumido</t>
      </is>
    </nc>
  </rcc>
  <rcc rId="2631" sId="1" xfDxf="1" dxf="1">
    <oc r="B207" t="inlineStr">
      <is>
        <t>FOCUS TECH COMERCIO E REPRESENTACOES COMERCIAIS LTDA - ME</t>
      </is>
    </oc>
    <nc r="B207" t="inlineStr">
      <is>
        <t xml:space="preserve">FOCUS TECH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632" sId="2" ref="A330:XFD330"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633" sId="2">
    <nc r="A330">
      <v>568</v>
    </nc>
  </rcc>
  <rcc rId="2634" sId="2" xfDxf="1" dxf="1">
    <nc r="B330" t="inlineStr">
      <is>
        <t xml:space="preserve">FOCUS TECH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35" sId="1" xfDxf="1" s="1" dxf="1">
    <nc r="D207" t="inlineStr">
      <is>
        <t>06.277.683/0001-05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6" sId="1" xfDxf="1" dxf="1">
    <oc r="B208" t="inlineStr">
      <is>
        <t>DEISTER &amp; MOREIRA MODAS LTDA - ME</t>
      </is>
    </oc>
    <nc r="B208" t="inlineStr">
      <is>
        <t>DEISTER &amp; MOREIRA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637" sId="2" ref="A331:XFD331"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638" sId="2">
    <nc r="A331">
      <v>569</v>
    </nc>
  </rcc>
  <rcc rId="2639" sId="2" xfDxf="1" dxf="1">
    <nc r="B331" t="inlineStr">
      <is>
        <t>DEISTER &amp; MOREIRA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0" sId="1" xfDxf="1" s="1" dxf="1">
    <nc r="D208" t="inlineStr">
      <is>
        <t>08.333.063/0001-71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41" sId="1">
    <nc r="F208" t="inlineStr">
      <is>
        <t>Simples</t>
      </is>
    </nc>
  </rcc>
  <rfmt sheetId="1" xfDxf="1" sqref="B209"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642" sId="1">
    <oc r="B209" t="inlineStr">
      <is>
        <t>DEISTER &amp; MOREIRA MODAS LTDA - ME FILIAL</t>
      </is>
    </oc>
    <nc r="B209" t="inlineStr">
      <is>
        <t>DEISTER &amp; MOREIRA FILIAL</t>
      </is>
    </nc>
  </rcc>
  <rrc rId="2643" sId="2" ref="A332:XFD33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644" sId="2">
    <nc r="A332">
      <v>570</v>
    </nc>
  </rcc>
  <rfmt sheetId="2" xfDxf="1" sqref="B332"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2645" sId="2">
    <nc r="B332" t="inlineStr">
      <is>
        <t>DEISTER &amp; MOREIRA FILIAL</t>
      </is>
    </nc>
  </rcc>
  <rcc rId="2646" sId="1">
    <nc r="F209" t="inlineStr">
      <is>
        <t>Simples</t>
      </is>
    </nc>
  </rcc>
  <rcc rId="2647" sId="1" xfDxf="1" s="1" dxf="1">
    <nc r="D209" t="inlineStr">
      <is>
        <t>08.333.063/0002-52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210" start="0" length="0">
    <dxf>
      <font>
        <sz val="8"/>
        <color auto="1"/>
      </font>
    </dxf>
  </rfmt>
  <rcc rId="2648" sId="1" xfDxf="1" s="1" dxf="1">
    <nc r="E210" t="inlineStr">
      <is>
        <t>COMERCIO/ENFERMEIROS OUTUBRO/MARCO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49" sId="1" xfDxf="1" s="1" dxf="1">
    <nc r="D210" t="inlineStr">
      <is>
        <t>14.084.022/0001-91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50" sId="1">
    <nc r="F210" t="inlineStr">
      <is>
        <t>Presumido</t>
      </is>
    </nc>
  </rcc>
  <rcc rId="2651" sId="1" xfDxf="1" dxf="1">
    <oc r="B210" t="inlineStr">
      <is>
        <t>BIO LIFE       COMERCIO/ENFERMEIROS OUTUBRO/MARCO                 14.084.022/0001-91</t>
      </is>
    </oc>
    <nc r="B210" t="inlineStr">
      <is>
        <t>BIO LIFE PRODUTOS</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210">
    <dxf>
      <alignment vertical="center" readingOrder="0"/>
    </dxf>
  </rfmt>
  <rcc rId="2652" sId="2" xfDxf="1" dxf="1">
    <oc r="B335" t="inlineStr">
      <is>
        <t>BIO LIFE</t>
      </is>
    </oc>
    <nc r="B335" t="inlineStr">
      <is>
        <t>BIO LIFE PRODUTOS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53" sId="1" xfDxf="1" s="1" dxf="1">
    <nc r="D211" t="inlineStr">
      <is>
        <t>983.358.556-68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54" sId="1" xfDxf="1" dxf="1">
    <oc r="B211" t="inlineStr">
      <is>
        <t xml:space="preserve"> LÍDICE CAROLINE</t>
      </is>
    </oc>
    <nc r="B211" t="inlineStr">
      <is>
        <t>LIDICE CAROLINA LENZ</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55" sId="1">
    <nc r="F211" t="inlineStr">
      <is>
        <t>Doméstica</t>
      </is>
    </nc>
  </rcc>
  <rcc rId="2656" sId="1" xfDxf="1" dxf="1">
    <oc r="B212" t="inlineStr">
      <is>
        <t>LOPES &amp; PURGATO COMERCIO DE COLCHOES LTDA - ME</t>
      </is>
    </oc>
    <nc r="B212" t="inlineStr">
      <is>
        <t xml:space="preserve">LOPES &amp; PURGATO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57" sId="2" xfDxf="1" dxf="1">
    <oc r="B337" t="inlineStr">
      <is>
        <t>LOPES &amp; PURGATO COMERCIO DE COLCHOES LTDA - ME</t>
      </is>
    </oc>
    <nc r="B337" t="inlineStr">
      <is>
        <t xml:space="preserve">LOPES &amp; PURGATO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58" sId="1">
    <nc r="F212" t="inlineStr">
      <is>
        <t>Presumido</t>
      </is>
    </nc>
  </rcc>
  <rcc rId="2659" sId="1" xfDxf="1" s="1" dxf="1">
    <nc r="D212" t="inlineStr">
      <is>
        <t>21.028.474/0001-11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D213"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660" sId="1">
    <nc r="D213" t="inlineStr">
      <is>
        <t>27.325.719/0001-59</t>
      </is>
    </nc>
  </rcc>
  <rcc rId="2661" sId="1">
    <nc r="F213" t="inlineStr">
      <is>
        <t>Simples</t>
      </is>
    </nc>
  </rcc>
  <rfmt sheetId="1" xfDxf="1" sqref="B213"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1" xfDxf="1" sqref="B213"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662" sId="1">
    <oc r="B213" t="inlineStr">
      <is>
        <t xml:space="preserve">CIMO ENGENHARIA             27.325.719/0001-59                              Data base: </t>
      </is>
    </oc>
    <nc r="B213" t="inlineStr">
      <is>
        <t>CIMO ENGENHARIA</t>
      </is>
    </nc>
  </rcc>
  <rfmt sheetId="2" xfDxf="1" sqref="B339"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663" sId="2">
    <oc r="B339" t="inlineStr">
      <is>
        <t xml:space="preserve">CIMO ENGENHARIA           </t>
      </is>
    </oc>
    <nc r="B339" t="inlineStr">
      <is>
        <t>CIMO ENGENHARIA</t>
      </is>
    </nc>
  </rcc>
  <rcc rId="2664" sId="1" xfDxf="1" s="1" dxf="1">
    <nc r="E214" t="inlineStr">
      <is>
        <t>sind:comércio 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65" sId="1" xfDxf="1" s="1" dxf="1">
    <nc r="D214" t="inlineStr">
      <is>
        <t>27.432.371/0001-07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66" sId="1">
    <nc r="F214" t="inlineStr">
      <is>
        <t>Presumido</t>
      </is>
    </nc>
  </rcc>
  <rcc rId="2667" sId="1" xfDxf="1" dxf="1">
    <oc r="B214" t="inlineStr">
      <is>
        <t>AUTO VILLE COMERCIO E REVENDA DE VEICULOS EIRELI - ME sind:comércio data base: Outubro CNPJ:27.432.371/0001-07</t>
      </is>
    </oc>
    <nc r="B214" t="inlineStr">
      <is>
        <t xml:space="preserve">AUTO VILLE COMERCIO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68" sId="2" xfDxf="1" dxf="1">
    <oc r="B338" t="inlineStr">
      <is>
        <t>AUTO VILLE</t>
      </is>
    </oc>
    <nc r="B338" t="inlineStr">
      <is>
        <t xml:space="preserve">AUTO VILLE COMERCIO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9" sId="1" xfDxf="1" s="1" dxf="1">
    <nc r="D419" t="inlineStr">
      <is>
        <t>157.546.696-15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70" sId="1">
    <nc r="F419" t="inlineStr">
      <is>
        <t>Doméstica</t>
      </is>
    </nc>
  </rcc>
  <rcc rId="2671" sId="1" xfDxf="1" dxf="1">
    <oc r="B419" t="inlineStr">
      <is>
        <t>JOSÉ GERALDO -CIDA</t>
      </is>
    </oc>
    <nc r="B419" t="inlineStr">
      <is>
        <t>JOSE GERALDO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72" sId="2" xfDxf="1" dxf="1">
    <oc r="B445" t="inlineStr">
      <is>
        <t>JOSE GERALDO - CIDA</t>
      </is>
    </oc>
    <nc r="B445" t="inlineStr">
      <is>
        <t>JOSE GERALDO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73" sId="1" xfDxf="1" s="1" dxf="1">
    <nc r="D418" t="inlineStr">
      <is>
        <t>974.464.406-00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74" sId="1" xfDxf="1" dxf="1">
    <oc r="B418" t="inlineStr">
      <is>
        <t>DANIELLE DE MATTOS SOARES SILVA</t>
      </is>
    </oc>
    <nc r="B418" t="inlineStr">
      <is>
        <t>DANIELLE DE MATTOS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75" sId="1">
    <nc r="F418" t="inlineStr">
      <is>
        <t>Doméstica</t>
      </is>
    </nc>
  </rcc>
  <rcc rId="2676" sId="1" xfDxf="1" s="1" dxf="1">
    <nc r="E417" t="inlineStr">
      <is>
        <t>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77" sId="1">
    <nc r="D417" t="inlineStr">
      <is>
        <t>CEI 512114950289</t>
      </is>
    </nc>
  </rcc>
  <rcc rId="2678" sId="1">
    <nc r="F417" t="inlineStr">
      <is>
        <t>CEI</t>
      </is>
    </nc>
  </rcc>
  <rcc rId="2679" sId="1" xfDxf="1" dxf="1">
    <oc r="B417" t="inlineStr">
      <is>
        <t>LUIZ FERNANDO - SÍTIO     512114950289                          Data Base:  JANEIRO</t>
      </is>
    </oc>
    <nc r="B417" t="inlineStr">
      <is>
        <t>LUIZ FERNANDO CAMPOS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80" sId="2" xfDxf="1" dxf="1">
    <oc r="B440" t="inlineStr">
      <is>
        <t xml:space="preserve">LUIZ FERNANDO - SÍTIO </t>
      </is>
    </oc>
    <nc r="B440" t="inlineStr">
      <is>
        <t>LUIZ FERNANDO CAMPOS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81" sId="2">
    <nc r="D440" t="inlineStr">
      <is>
        <t>Sítio</t>
      </is>
    </nc>
  </rcc>
  <rcc rId="2682" sId="1" xfDxf="1" s="1" dxf="1">
    <nc r="E416" t="inlineStr">
      <is>
        <t xml:space="preserve">SINDICATO DA SAÚDE - MAIO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83" sId="1" xfDxf="1" dxf="1">
    <oc r="B416" t="inlineStr">
      <is>
        <t xml:space="preserve">SUMAYA                                                                     SINDICATO DA SAÚDE - MAIO           113671584102                                                             </t>
      </is>
    </oc>
    <nc r="B416" t="inlineStr">
      <is>
        <t>SUMAYA MATTAR</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84" sId="1">
    <nc r="F416" t="inlineStr">
      <is>
        <t>CEI</t>
      </is>
    </nc>
  </rcc>
  <rcc rId="2685" sId="2" xfDxf="1" dxf="1">
    <oc r="B438" t="inlineStr">
      <is>
        <t>DRA SUMAYA MATTAR</t>
      </is>
    </oc>
    <nc r="B438" t="inlineStr">
      <is>
        <t>SUMAYA MATTAR</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86" sId="1" xfDxf="1" s="1" dxf="1">
    <nc r="D416" t="inlineStr">
      <is>
        <t>CEI 113671581002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87" sId="1" xfDxf="1" s="1" dxf="1">
    <nc r="E415" t="inlineStr">
      <is>
        <t>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88" sId="1">
    <nc r="D415" t="inlineStr">
      <is>
        <t>CEI 512173643789</t>
      </is>
    </nc>
  </rcc>
  <rfmt sheetId="1" xfDxf="1" sqref="B415"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689" sId="1">
    <nc r="F415" t="inlineStr">
      <is>
        <t>Doméstica</t>
      </is>
    </nc>
  </rcc>
  <rcc rId="2690" sId="1" xfDxf="1" s="1" dxf="1">
    <nc r="D414" t="inlineStr">
      <is>
        <t>570.287.106-53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691" sId="1" xfDxf="1" dxf="1">
    <oc r="B414" t="inlineStr">
      <is>
        <t xml:space="preserve">MARGARETH ROTONDO </t>
      </is>
    </oc>
    <nc r="B414" t="inlineStr">
      <is>
        <t>MARGARETH APARECIDA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92" sId="1">
    <nc r="F414" t="inlineStr">
      <is>
        <t>Doméstica</t>
      </is>
    </nc>
  </rcc>
  <rcc rId="2693" sId="2" xfDxf="1" dxf="1">
    <oc r="B426" t="inlineStr">
      <is>
        <t>MARGARETH -2 - BEATRIZ</t>
      </is>
    </oc>
    <nc r="B426" t="inlineStr">
      <is>
        <t>MARGARETH APARECIDA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94" sId="1" xfDxf="1" dxf="1">
    <oc r="B415" t="inlineStr">
      <is>
        <t>PAULO - SÍTIO                    512173643789                      Data Base:  JANEIRO</t>
      </is>
    </oc>
    <nc r="B415" t="inlineStr">
      <is>
        <t>PAULO EMILIO SITIO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695" sId="2" xfDxf="1" dxf="1">
    <oc r="B430" t="inlineStr">
      <is>
        <t>PAULO - SITIO</t>
      </is>
    </oc>
    <nc r="B430" t="inlineStr">
      <is>
        <t>PAULO EMILIO SITIO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96" sId="1">
    <nc r="D413" t="inlineStr">
      <is>
        <t>CEI 700073259201</t>
      </is>
    </nc>
  </rcc>
  <rcc rId="2697" sId="1">
    <nc r="F413" t="inlineStr">
      <is>
        <t>Doméstica</t>
      </is>
    </nc>
  </rcc>
  <rfmt sheetId="1" xfDxf="1" sqref="B413"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698" sId="2" xfDxf="1" dxf="1">
    <oc r="B424" t="inlineStr">
      <is>
        <t>CRISTIANO - ANA RITA</t>
      </is>
    </oc>
    <nc r="B424" t="inlineStr">
      <is>
        <t>CRISTIANO DIAS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699" sId="2">
    <nc r="D426" t="inlineStr">
      <is>
        <t>Beatriz</t>
      </is>
    </nc>
  </rcc>
  <rcc rId="2700" sId="2">
    <nc r="D424" t="inlineStr">
      <is>
        <t>Ana Rita</t>
      </is>
    </nc>
  </rcc>
  <rcc rId="2701" sId="1" xfDxf="1" s="1" dxf="1">
    <nc r="D412" t="inlineStr">
      <is>
        <t>530.333.966-15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02" sId="1">
    <nc r="F412" t="inlineStr">
      <is>
        <t>Doméstica</t>
      </is>
    </nc>
  </rcc>
  <rcc rId="2703" sId="1" xfDxf="1" dxf="1">
    <oc r="B412" t="inlineStr">
      <is>
        <t>MARCELO CALCAGNO-01 - VILMA SANTOS</t>
      </is>
    </oc>
    <nc r="B412" t="inlineStr">
      <is>
        <t>MARCELO CALCAGNO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04" sId="2" xfDxf="1" dxf="1">
    <oc r="B422" t="inlineStr">
      <is>
        <t>MARCELO CALCAGNO-01 - VILMA SANTOS</t>
      </is>
    </oc>
    <nc r="B422" t="inlineStr">
      <is>
        <t>MARCELO CALCAGNO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705" sId="2">
    <nc r="C422" t="inlineStr">
      <is>
        <t>Vilma Santos</t>
      </is>
    </nc>
  </rcc>
  <rcc rId="2706" sId="1" xfDxf="1" s="1" dxf="1">
    <nc r="D411" t="inlineStr">
      <is>
        <t>847.526.537-53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07" sId="1" xfDxf="1" dxf="1">
    <oc r="B411" t="inlineStr">
      <is>
        <t xml:space="preserve">LÚCIA PIUMA </t>
      </is>
    </oc>
    <nc r="B411" t="inlineStr">
      <is>
        <t>LUCIA DE ARAUJO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08" sId="1">
    <nc r="F411" t="inlineStr">
      <is>
        <t>Doméstica</t>
      </is>
    </nc>
  </rcc>
  <rcc rId="2709" sId="1" xfDxf="1" s="1" dxf="1">
    <nc r="D410" t="inlineStr">
      <is>
        <t>36.424.606/0001-00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10" sId="1">
    <nc r="F410" t="inlineStr">
      <is>
        <t>Simples</t>
      </is>
    </nc>
  </rcc>
  <rcc rId="2711" sId="1" xfDxf="1" dxf="1">
    <oc r="B410" t="inlineStr">
      <is>
        <t>H F MACHADO CONSULTORIA</t>
      </is>
    </oc>
    <nc r="B410" t="inlineStr">
      <is>
        <t xml:space="preserve">H. F. MACHADO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712" sId="2" ref="A414:XFD414"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13" sId="2">
    <nc r="A414">
      <v>905</v>
    </nc>
  </rcc>
  <rcc rId="2714" sId="2" xfDxf="1" dxf="1">
    <nc r="B414" t="inlineStr">
      <is>
        <t xml:space="preserve">H. F. MACHADO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15" sId="2" xfDxf="1" dxf="1">
    <oc r="B420" t="inlineStr">
      <is>
        <t>LÚCIA PIUMA-03 -  SEBASTIÃO SANTOS</t>
      </is>
    </oc>
    <nc r="B420" t="inlineStr">
      <is>
        <t>LUCIA DE ARAUJO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716" sId="2">
    <nc r="D420" t="inlineStr">
      <is>
        <t>Sebastião Santos</t>
      </is>
    </nc>
  </rcc>
  <rcc rId="2717" sId="2">
    <nc r="C421" t="inlineStr">
      <is>
        <t>Maria Aparecida</t>
      </is>
    </nc>
  </rcc>
  <rcc rId="2718" sId="2" xfDxf="1" dxf="1">
    <oc r="B421" t="inlineStr">
      <is>
        <t>LUCIA PIUMA-MARIA APARECIDA</t>
      </is>
    </oc>
    <nc r="B421" t="inlineStr">
      <is>
        <t>LUCIA DE ARAUJO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719" sId="1" xfDxf="1" s="1" dxf="1">
    <nc r="D409" t="inlineStr">
      <is>
        <t>36.032.369/0001-23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20" sId="1" xfDxf="1" dxf="1">
    <oc r="B409" t="inlineStr">
      <is>
        <t>VINTESSE IMPORTADORA</t>
      </is>
    </oc>
    <nc r="B409" t="inlineStr">
      <is>
        <t xml:space="preserve">VITESSE IMPORTADORA </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21" sId="1">
    <nc r="F409" t="inlineStr">
      <is>
        <t>Simples</t>
      </is>
    </nc>
  </rcc>
  <rrc rId="2722" sId="2" ref="A412:XFD412"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23" sId="2">
    <nc r="A412">
      <v>901</v>
    </nc>
  </rcc>
  <rcc rId="2724" sId="2" xfDxf="1" dxf="1">
    <nc r="B412" t="inlineStr">
      <is>
        <t xml:space="preserve">VITESSE IMPORTADORA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25" sId="1" xfDxf="1" s="1" dxf="1">
    <nc r="D408" t="inlineStr">
      <is>
        <t>063.927.156-14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26" sId="1">
    <nc r="F408" t="inlineStr">
      <is>
        <t>Doméstica</t>
      </is>
    </nc>
  </rcc>
  <rcc rId="2727" sId="1" xfDxf="1" dxf="1">
    <oc r="B408" t="inlineStr">
      <is>
        <t>Luciana Lopes (L2)</t>
      </is>
    </oc>
    <nc r="B408" t="inlineStr">
      <is>
        <t>LUCIANA RODRIGUES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28" sId="2" xfDxf="1" dxf="1">
    <oc r="B397" t="inlineStr">
      <is>
        <t>Luciana Lopes (L2)</t>
      </is>
    </oc>
    <nc r="B397" t="inlineStr">
      <is>
        <t>LUCIANA RODRIGUES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fmt sheetId="1" xfDxf="1" s="1" sqref="E407"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729" sId="1" xfDxf="1" s="1" dxf="1">
    <nc r="E407" t="inlineStr">
      <is>
        <t xml:space="preserve">SINDICATO DA SAÚDE - Data Base: MAIO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30" sId="1" xfDxf="1" s="1" dxf="1">
    <nc r="D407" t="inlineStr">
      <is>
        <t>10.795.073/0002-51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31" sId="1" xfDxf="1" dxf="1">
    <oc r="B407" t="inlineStr">
      <is>
        <t xml:space="preserve">CLINICA NÚCLEO - FILIAL          10.795.073/0002-51                                     SINDICATO DA SAÚDE - Data Base: MAIO                                                               </t>
      </is>
    </oc>
    <nc r="B407" t="inlineStr">
      <is>
        <t>CLINICA NUCLEO FL</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32" sId="2" xfDxf="1" dxf="1">
    <oc r="B419" t="inlineStr">
      <is>
        <t>CLINICA NÚCLEO - FILIAL</t>
      </is>
    </oc>
    <nc r="B419" t="inlineStr">
      <is>
        <t>CLINICA NUCLEO FL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733" sId="1" xfDxf="1" s="1" dxf="1">
    <nc r="E406"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34" sId="1" xfDxf="1" s="1" dxf="1">
    <nc r="D406" t="inlineStr">
      <is>
        <t>21.104.245/0003-09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35" sId="1" xfDxf="1" dxf="1">
    <oc r="B406" t="inlineStr">
      <is>
        <t>IRAN FILIAL 02 **                        21.104.245/0003-09                   Data base: Outubro</t>
      </is>
    </oc>
    <nc r="B406" t="inlineStr">
      <is>
        <t>IRAN FL 0003</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36" sId="2" xfDxf="1" dxf="1">
    <oc r="B418" t="inlineStr">
      <is>
        <t>IRAN - FILIAL 02 **</t>
      </is>
    </oc>
    <nc r="B418" t="inlineStr">
      <is>
        <t>IRAN FL 0003</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737" sId="1" xfDxf="1" dxf="1">
    <oc r="B405" t="inlineStr">
      <is>
        <t>IRAN FILIAL 01   sind. Comércio data base: outubro</t>
      </is>
    </oc>
    <nc r="B405" t="inlineStr">
      <is>
        <t>IRAN FL 0002</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38" sId="2" xfDxf="1" dxf="1">
    <oc r="B417" t="inlineStr">
      <is>
        <t>IRAN - FILIAL 01   **</t>
      </is>
    </oc>
    <nc r="B417" t="inlineStr">
      <is>
        <t>IRAN FL 0002</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739" sId="1">
    <nc r="F405" t="inlineStr">
      <is>
        <t>Simples</t>
      </is>
    </nc>
  </rcc>
  <rcc rId="2740" sId="1" xfDxf="1" s="1" dxf="1">
    <nc r="D405" t="inlineStr">
      <is>
        <t>21.104.245/0002-10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41" sId="1" xfDxf="1" s="1" dxf="1">
    <nc r="D404" t="inlineStr">
      <is>
        <t>002.544.871-49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42" sId="1">
    <nc r="F404" t="inlineStr">
      <is>
        <t>Doméstica</t>
      </is>
    </nc>
  </rcc>
  <rcc rId="2743" sId="1" xfDxf="1" dxf="1">
    <oc r="B404" t="inlineStr">
      <is>
        <t>Jaime leivas</t>
      </is>
    </oc>
    <nc r="B404" t="inlineStr">
      <is>
        <t>JAIME LEIVAS PIUMA</t>
      </is>
    </nc>
    <n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rc rId="2744" sId="2" ref="A408:XFD408"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45" sId="2">
    <nc r="A408">
      <v>867</v>
    </nc>
  </rcc>
  <rcc rId="2746" sId="2" xfDxf="1" dxf="1">
    <nc r="B408" t="inlineStr">
      <is>
        <t>JAIME LEIVAS PIUMA</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47" sId="1" xfDxf="1" s="1" dxf="1">
    <nc r="D403" t="inlineStr">
      <is>
        <t>36.588.839/0001-30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403" start="0" length="0">
    <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rc rId="2748" sId="2" ref="A417:XFD41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49" sId="2">
    <nc r="A417">
      <v>908</v>
    </nc>
  </rcc>
  <rcc rId="2750" sId="2" xfDxf="1" dxf="1">
    <nc r="B417" t="inlineStr">
      <is>
        <t>PEDRO PAULO DE MELO</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51" sId="1">
    <nc r="F403" t="inlineStr">
      <is>
        <t>Simples</t>
      </is>
    </nc>
  </rcc>
  <rcc rId="2752" sId="1" xfDxf="1" s="1" dxf="1">
    <nc r="D402" t="inlineStr">
      <is>
        <t>36.621.405/0001-94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402" start="0" length="0">
    <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2753" sId="1">
    <nc r="F402" t="inlineStr">
      <is>
        <t>Simples</t>
      </is>
    </nc>
  </rcc>
  <rrc rId="2754" sId="2" ref="A417:XFD41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55" sId="2">
    <nc r="A417">
      <v>907</v>
    </nc>
  </rcc>
  <rcc rId="2756" sId="2" xfDxf="1" dxf="1">
    <nc r="B417" t="inlineStr">
      <is>
        <t>R. M. PIMONT</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rc rId="2757" sId="2" ref="A417:XFD417" action="insertRow">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09"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58" sId="2">
    <nc r="A417">
      <v>906</v>
    </nc>
  </rcc>
  <rcc rId="2759" sId="2" xfDxf="1" dxf="1">
    <nc r="B417" t="inlineStr">
      <is>
        <t>TRAVEL &amp; CO. VIAGENS E TURISMO LTDA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60" sId="1" xfDxf="1" dxf="1">
    <oc r="B401" t="inlineStr">
      <is>
        <t xml:space="preserve">TRAVEL &amp; O VIAGENS E TURISMO LTDA </t>
      </is>
    </oc>
    <nc r="B401" t="inlineStr">
      <is>
        <t>TRAVEL &amp; CO. VIAGENS E TURISMO LTDA</t>
      </is>
    </nc>
    <n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61" sId="1" xfDxf="1" s="1" dxf="1">
    <nc r="D401" t="inlineStr">
      <is>
        <t>36.530.292/0001-11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62" sId="1">
    <nc r="F401" t="inlineStr">
      <is>
        <t>Simples</t>
      </is>
    </nc>
  </rcc>
  <rcc rId="2763" sId="1" xfDxf="1" s="1" dxf="1">
    <nc r="D400" t="inlineStr">
      <is>
        <t>36.424.606/0001-00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2764" sId="1" ref="A400:XFD400" action="delete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FB7C661_5C1D_4491_B5BB_D24125818F62_.wvu.Cols" sId="1"/>
    <undo index="2" exp="area" ref3D="1" dr="$M$1:$M$1048576" dn="Z_DAEEB123_9C5D_4BF0_8F09_E7DEBC62D826_.wvu.Cols" sId="1"/>
    <undo index="1" exp="area" ref3D="1" dr="$C$1:$F$1048576" dn="Z_DAEEB123_9C5D_4BF0_8F09_E7DEBC62D826_.wvu.Cols" sId="1"/>
    <undo index="2" exp="area" ref3D="1" dr="$M$1:$M$1048576" dn="Z_590CEBDA_E7AE_4D8D_8613_56208662CCA9_.wvu.Cols" sId="1"/>
    <undo index="1" exp="area" ref3D="1" dr="$C$1:$F$1048576" dn="Z_590CEBDA_E7AE_4D8D_8613_56208662CCA9_.wvu.Cols" sId="1"/>
    <undo index="0" exp="area" ref3D="1" dr="$C$1:$F$1048576" dn="Z_3BCABC4F_4072_4ED9_90CC_E9BE96773387_.wvu.Cols" sId="1"/>
    <rfmt sheetId="1" xfDxf="1" sqref="A400:XFD400" start="0" length="0">
      <dxf>
        <font>
          <sz val="9"/>
          <name val="Arial"/>
          <scheme val="none"/>
        </font>
      </dxf>
    </rfmt>
    <rcc rId="0" sId="1" dxf="1">
      <nc r="A400">
        <v>905</v>
      </nc>
      <ndxf>
        <font>
          <sz val="9"/>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0" sId="1" dxf="1">
      <nc r="B400" t="inlineStr">
        <is>
          <t>HF MACHADO CONSULTORIA EM MARKETINK</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fmt sheetId="1" s="1" sqref="C400" start="0" length="0">
      <dxf>
        <font>
          <u/>
          <sz val="9"/>
          <color theme="10"/>
          <name val="Arial"/>
          <scheme val="none"/>
        </font>
        <alignment horizontal="center" vertical="center" readingOrder="0"/>
        <border outline="0">
          <left style="thin">
            <color indexed="64"/>
          </left>
          <right style="thin">
            <color indexed="64"/>
          </right>
          <bottom style="thin">
            <color indexed="64"/>
          </bottom>
        </border>
      </dxf>
    </rfmt>
    <rcc rId="0" sId="1" s="1" dxf="1">
      <nc r="D400" t="inlineStr">
        <is>
          <t>36.424.606/0001-00</t>
        </is>
      </nc>
      <n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ndxf>
    </rcc>
    <rfmt sheetId="1" s="1" sqref="E400"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fmt sheetId="1" s="1" sqref="F400" start="0" length="0">
      <dxf>
        <font>
          <u/>
          <sz val="9"/>
          <color theme="10"/>
          <name val="Arial"/>
          <scheme val="none"/>
        </font>
        <alignment horizontal="center" vertical="center" readingOrder="0"/>
        <border outline="0">
          <left style="thin">
            <color indexed="64"/>
          </left>
          <right style="thin">
            <color indexed="64"/>
          </right>
          <top style="thin">
            <color indexed="64"/>
          </top>
        </border>
      </dxf>
    </rfmt>
    <rcc rId="0" sId="1" dxf="1">
      <nc r="G400" t="inlineStr">
        <is>
          <t>CARL</t>
        </is>
      </nc>
      <ndxf>
        <font>
          <b/>
          <sz val="8"/>
          <color auto="1"/>
          <name val="Arial"/>
          <scheme val="none"/>
        </font>
        <fill>
          <patternFill patternType="solid">
            <bgColor rgb="FF00B050"/>
          </patternFill>
        </fill>
        <alignment horizontal="center" vertical="center" wrapText="1" readingOrder="0"/>
        <border outline="0">
          <left style="thin">
            <color indexed="64"/>
          </left>
          <right style="thin">
            <color indexed="64"/>
          </right>
          <top style="thin">
            <color indexed="64"/>
          </top>
        </border>
      </ndxf>
    </rcc>
    <rcc rId="0" sId="1" dxf="1">
      <nc r="H400" t="inlineStr">
        <is>
          <t>VERIFICAR EMISSA DE NF</t>
        </is>
      </nc>
      <ndxf>
        <font>
          <sz val="10"/>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ndxf>
    </rcc>
    <rcc rId="0" sId="1" dxf="1">
      <nc r="I400" t="inlineStr">
        <is>
          <t>PRO-LABORE</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0" sId="1" dxf="1">
      <nc r="J400">
        <v>21</v>
      </nc>
      <ndxf>
        <font>
          <sz val="9"/>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ndxf>
    </rcc>
    <rfmt sheetId="1" sqref="K400" start="0" length="0">
      <dxf>
        <font>
          <sz val="9"/>
          <color auto="1"/>
          <name val="Arial"/>
          <scheme val="none"/>
        </font>
        <fill>
          <patternFill patternType="solid">
            <bgColor theme="0" tint="-0.34998626667073579"/>
          </patternFill>
        </fill>
        <alignment horizontal="center" vertical="center" wrapText="1" shrinkToFit="1" readingOrder="0"/>
        <border outline="0">
          <left style="thin">
            <color indexed="64"/>
          </left>
          <right style="thin">
            <color indexed="64"/>
          </right>
          <top style="thin">
            <color indexed="64"/>
          </top>
          <bottom style="thin">
            <color indexed="64"/>
          </bottom>
        </border>
      </dxf>
    </rfmt>
    <rcc rId="0" sId="1" dxf="1">
      <nc r="L400" t="inlineStr">
        <is>
          <t xml:space="preserve">Pro labore (   ) 
INSS (   )
GFIP (   ) </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rc>
  <rcc rId="2765" sId="1" xfDxf="1" s="1" dxf="1">
    <nc r="E399"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66" sId="1" xfDxf="1" dxf="1">
    <oc r="B399" t="inlineStr">
      <is>
        <t>CONCLAVE EDITORA - COMERCIO    Data base: OUTUBRO</t>
      </is>
    </oc>
    <nc r="B399" t="inlineStr">
      <is>
        <t>CONCLAVE EDITORA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67" sId="1">
    <nc r="F399" t="inlineStr">
      <is>
        <t>Simples</t>
      </is>
    </nc>
  </rcc>
  <rcc rId="2768" sId="2" xfDxf="1" dxf="1">
    <oc r="B415" t="inlineStr">
      <is>
        <t xml:space="preserve">Conclave </t>
      </is>
    </oc>
    <nc r="B415" t="inlineStr">
      <is>
        <t>CONCLAVE EDITORA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69" sId="1" xfDxf="1" s="1" dxf="1">
    <nc r="D399" t="inlineStr">
      <is>
        <t>17.859.185/0001-97</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70" sId="1">
    <oc r="A398">
      <v>899</v>
    </oc>
    <nc r="A398">
      <v>902</v>
    </nc>
  </rcc>
  <rcc rId="2771" sId="1" xfDxf="1" dxf="1">
    <oc r="B398" t="inlineStr">
      <is>
        <t>02JF CENTRO DE OXIGENIO</t>
      </is>
    </oc>
    <nc r="B398" t="inlineStr">
      <is>
        <t xml:space="preserve">O2JF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72" sId="2" xfDxf="1" dxf="1">
    <oc r="B414" t="inlineStr">
      <is>
        <t>O2</t>
      </is>
    </oc>
    <nc r="B414" t="inlineStr">
      <is>
        <t xml:space="preserve">O2JF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73" sId="1">
    <nc r="F398" t="inlineStr">
      <is>
        <t>Presumido</t>
      </is>
    </nc>
  </rcc>
  <rcc rId="2774" sId="1" xfDxf="1" s="1" dxf="1">
    <nc r="D398" t="inlineStr">
      <is>
        <t>17.525.444/0001-43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75" sId="1">
    <nc r="F397" t="inlineStr">
      <is>
        <t>Simples</t>
      </is>
    </nc>
  </rcc>
  <rcc rId="2776" sId="1" xfDxf="1" dxf="1">
    <oc r="B397" t="inlineStr">
      <is>
        <t>PROFESSOR MARCO ANTONIO MACARRAO</t>
      </is>
    </oc>
    <nc r="B397" t="inlineStr">
      <is>
        <t>PROFESSOR MARCO ANTONIO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777" sId="2" ref="A413:XFD41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78" sId="2">
    <nc r="A413">
      <v>898</v>
    </nc>
  </rcc>
  <rcc rId="2779" sId="2" xfDxf="1" dxf="1">
    <nc r="B413" t="inlineStr">
      <is>
        <t>PROFESSOR MARCO ANTONIO</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80" sId="1" xfDxf="1" s="1" dxf="1">
    <nc r="D397" t="inlineStr">
      <is>
        <t>35.883.482/0001-50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81" sId="1">
    <nc r="F396" t="inlineStr">
      <is>
        <t>Doméstica</t>
      </is>
    </nc>
  </rcc>
  <rcc rId="2782" sId="1" xfDxf="1" s="1" dxf="1">
    <nc r="D396" t="inlineStr">
      <is>
        <t>062.871.106-94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83" sId="1" xfDxf="1" dxf="1">
    <oc r="B396" t="inlineStr">
      <is>
        <t xml:space="preserve">Vania Aparecida </t>
      </is>
    </oc>
    <nc r="B396" t="inlineStr">
      <is>
        <t>VANIA APARECIDA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784" sId="2" ref="A412:XFD41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85" sId="2">
    <nc r="A412">
      <v>886</v>
    </nc>
  </rcc>
  <rcc rId="2786" sId="2" xfDxf="1" dxf="1">
    <nc r="B412" t="inlineStr">
      <is>
        <t>VANIA APARECIDA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2787" sId="1">
    <nc r="F395" t="inlineStr">
      <is>
        <t>Simples</t>
      </is>
    </nc>
  </rcc>
  <rcc rId="2788" sId="1" xfDxf="1" dxf="1">
    <oc r="B395" t="inlineStr">
      <is>
        <t>BIOVET 4 PATAS EMKB ANIMAL</t>
      </is>
    </oc>
    <nc r="B395" t="inlineStr">
      <is>
        <t>BIOVET 4 PATAS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89" sId="1" xfDxf="1" s="1" dxf="1">
    <nc r="D395" t="inlineStr">
      <is>
        <t>31.889.167/0001-89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90" sId="1" xfDxf="1" s="1" dxf="1">
    <nc r="D394" t="inlineStr">
      <is>
        <t>35.854.226/0001-34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791" sId="1">
    <nc r="F394" t="inlineStr">
      <is>
        <t>Simples</t>
      </is>
    </nc>
  </rcc>
  <rfmt sheetId="1" xfDxf="1" sqref="B394"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792" sId="1" xfDxf="1" dxf="1">
    <oc r="B394" t="inlineStr">
      <is>
        <t>E.F.DE SOUSA LASER</t>
      </is>
    </oc>
    <nc r="B394" t="inlineStr">
      <is>
        <t>E. F. DE SOUSA LASER</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793" sId="2" ref="A407:XFD40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94" sId="2" xfDxf="1" dxf="1">
    <nc r="B407" t="inlineStr">
      <is>
        <t>E. F. DE SOUSA LASER</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795" sId="1">
    <nc r="F393" t="inlineStr">
      <is>
        <t>Simples</t>
      </is>
    </nc>
  </rcc>
  <rfmt sheetId="1" xfDxf="1" sqref="B393"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796" sId="2">
    <nc r="A407">
      <v>894</v>
    </nc>
  </rcc>
  <rm rId="2797" sheetId="2" source="A407:XFD407" destination="A413:XFD413" sourceSheetId="2">
    <rfmt sheetId="2" xfDxf="1" sqref="A413:XFD413" start="0" length="0"/>
    <rcc rId="0" sId="2" dxf="1">
      <nc r="A413">
        <v>886</v>
      </nc>
      <ndxf>
        <font>
          <sz val="10"/>
          <color auto="1"/>
          <name val="Calibri"/>
          <scheme val="minor"/>
        </font>
        <fill>
          <patternFill patternType="solid">
            <bgColor theme="0"/>
          </patternFill>
        </fill>
        <alignment horizontal="center" vertical="top" wrapText="1" readingOrder="0"/>
        <border outline="0">
          <left style="thin">
            <color indexed="64"/>
          </left>
          <right style="thin">
            <color indexed="64"/>
          </right>
          <top style="thin">
            <color indexed="64"/>
          </top>
          <bottom style="thin">
            <color indexed="64"/>
          </bottom>
        </border>
      </ndxf>
    </rcc>
    <rcc rId="0" sId="2" dxf="1">
      <nc r="B413" t="inlineStr">
        <is>
          <t>VANIA APARECIDA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fmt sheetId="2" sqref="C413"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m>
  <rrc rId="2798" sId="2" ref="A414:XFD41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799" sId="2">
    <nc r="A414">
      <v>895</v>
    </nc>
  </rcc>
  <rcc rId="2800" sId="2" xfDxf="1" dxf="1">
    <nc r="B414" t="inlineStr">
      <is>
        <t>WARLEY STEFANY NUNES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01" sId="1" xfDxf="1" s="1" dxf="1">
    <nc r="D393" t="inlineStr">
      <is>
        <t>34.229.487/0001-09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92"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802" sId="1">
    <oc r="B392" t="inlineStr">
      <is>
        <t>COURINVEST GESTAO E CONS</t>
      </is>
    </oc>
    <nc r="B392" t="inlineStr">
      <is>
        <t>COURINVEST</t>
      </is>
    </nc>
  </rcc>
  <rrc rId="2803" sId="2" ref="A413:XFD41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04" sId="2">
    <nc r="A413">
      <v>893</v>
    </nc>
  </rcc>
  <rfmt sheetId="2" xfDxf="1" sqref="B413"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2805" sId="2">
    <nc r="B413" t="inlineStr">
      <is>
        <t>COURINVEST</t>
      </is>
    </nc>
  </rcc>
  <rcc rId="2806" sId="1" xfDxf="1" s="1" dxf="1">
    <nc r="D392" t="inlineStr">
      <is>
        <t>35.817.160/0001-02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07" sId="1">
    <nc r="F392" t="inlineStr">
      <is>
        <t>Simples</t>
      </is>
    </nc>
  </rcc>
  <rrc rId="2808" sId="2" ref="A338:XFD338"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m rId="2809" sheetId="2" source="A340:XFD340" destination="A338:XFD338" sourceSheetId="2">
    <rfmt sheetId="2" xfDxf="1" sqref="A338:XFD338" start="0" length="0"/>
    <rfmt sheetId="2" sqref="A338"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338"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fmt sheetId="2" sqref="C338"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m>
  <rcc rId="2810" sId="1">
    <nc r="F123" t="inlineStr">
      <is>
        <t>Presumido</t>
      </is>
    </nc>
  </rcc>
  <rcc rId="2811" sId="1">
    <nc r="F150" t="inlineStr">
      <is>
        <t>Doméstica</t>
      </is>
    </nc>
  </rcc>
  <rcc rId="2812" sId="1">
    <nc r="F151" t="inlineStr">
      <is>
        <t>Doméstica</t>
      </is>
    </nc>
  </rcc>
  <rcc rId="2813" sId="1">
    <nc r="F161" t="inlineStr">
      <is>
        <t>Doméstica</t>
      </is>
    </nc>
  </rcc>
  <rcc rId="2814" sId="1">
    <nc r="F215" t="inlineStr">
      <is>
        <t>Presumido</t>
      </is>
    </nc>
  </rcc>
  <rcc rId="2815" sId="1" xfDxf="1" dxf="1">
    <oc r="B215" t="inlineStr">
      <is>
        <t>LÚCIO COUTO GAIO - ME</t>
      </is>
    </oc>
    <nc r="B215" t="inlineStr">
      <is>
        <t>LUCIO COUTO GAIO</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16" sId="2">
    <nc r="A340">
      <v>583</v>
    </nc>
  </rcc>
  <rfmt sheetId="2" sqref="A340">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rfmt>
  <rcc rId="2817" sId="2" xfDxf="1" dxf="1">
    <nc r="B340" t="inlineStr">
      <is>
        <t>LUCIO COUTO GAIO</t>
      </is>
    </nc>
  </rcc>
  <rcc rId="2818" sId="1" xfDxf="1" s="1" dxf="1">
    <nc r="D215" t="inlineStr">
      <is>
        <t>00.587.504/0001-50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19" sId="1" xfDxf="1" dxf="1">
    <oc r="B216" t="inlineStr">
      <is>
        <t>ALEXLETI REPRESENTAÇÕES LTDA - ME</t>
      </is>
    </oc>
    <nc r="B216" t="inlineStr">
      <is>
        <t>ALEXLETI REPRESENTACOES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20" sId="1">
    <nc r="F216" t="inlineStr">
      <is>
        <t>Simples</t>
      </is>
    </nc>
  </rcc>
  <rrc rId="2821" sId="2" ref="A341:XFD34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22" sId="2">
    <nc r="A341">
      <v>584</v>
    </nc>
  </rcc>
  <rcc rId="2823" sId="2" xfDxf="1" dxf="1">
    <nc r="B341" t="inlineStr">
      <is>
        <t>ALEXLETI REPRESENTACOES</t>
      </is>
    </nc>
  </rcc>
  <rcc rId="2824" sId="1" xfDxf="1" s="1" dxf="1">
    <nc r="D216" t="inlineStr">
      <is>
        <t>27.248.304/0001-29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25" sId="1">
    <nc r="F217" t="inlineStr">
      <is>
        <t>Simples</t>
      </is>
    </nc>
  </rcc>
  <rcc rId="2826" sId="1" xfDxf="1" dxf="1">
    <oc r="B217" t="inlineStr">
      <is>
        <t>BASE PILATES JF LTDA - ME</t>
      </is>
    </oc>
    <nc r="B217" t="inlineStr">
      <is>
        <t>BASE PILATES JF LTDA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27" sId="2" xfDxf="1" dxf="1">
    <oc r="B342" t="inlineStr">
      <is>
        <t>BASE PILATES</t>
      </is>
    </oc>
    <nc r="B342" t="inlineStr">
      <is>
        <t>BASE PILATES JF LTDA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28" sId="1" xfDxf="1" s="1" dxf="1">
    <nc r="D217" t="inlineStr">
      <is>
        <t>27.545.968/0001-50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29" sId="1" xfDxf="1" s="1" dxf="1">
    <nc r="E218" t="inlineStr">
      <is>
        <t>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30" sId="1" xfDxf="1" s="1" dxf="1">
    <nc r="D218" t="inlineStr">
      <is>
        <t>27.829.502/0001-86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31" sId="1">
    <nc r="F218" t="inlineStr">
      <is>
        <t>Simples</t>
      </is>
    </nc>
  </rcc>
  <rcc rId="2832" sId="1" xfDxf="1" dxf="1">
    <oc r="B218" t="inlineStr">
      <is>
        <t>VIA EXPRESSA ESTETICA AUTOMOTICA LTDA - ME    27.829.502/0001-86                    Data Base: MAIO</t>
      </is>
    </oc>
    <nc r="B218" t="inlineStr">
      <is>
        <t>VIA EXPRESSA</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33" sId="1" xfDxf="1" s="1" dxf="1">
    <nc r="D219" t="inlineStr">
      <is>
        <t>008.480.496-32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219"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834" sId="1">
    <nc r="F219" t="inlineStr">
      <is>
        <t>CEI</t>
      </is>
    </nc>
  </rcc>
  <rcc rId="2835" sId="2" xfDxf="1" dxf="1">
    <oc r="B344" t="inlineStr">
      <is>
        <t>ADRIANA DUQUE FREITAS</t>
      </is>
    </oc>
    <nc r="B344" t="inlineStr">
      <is>
        <t>ADRIANA DUQUE DE FREITAS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36" sId="1">
    <nc r="F220" t="inlineStr">
      <is>
        <t>Simples</t>
      </is>
    </nc>
  </rcc>
  <rcc rId="2837" sId="1" xfDxf="1" dxf="1">
    <oc r="B220" t="inlineStr">
      <is>
        <t>SUSTENTABILE DESENVOLVIMENTO GERENCIAL LTDA - ME</t>
      </is>
    </oc>
    <nc r="B220" t="inlineStr">
      <is>
        <t>SUSTENTABILE</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838" sId="2" ref="A345:XFD34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39" sId="2">
    <nc r="A345">
      <v>590</v>
    </nc>
  </rcc>
  <rcc rId="2840" sId="2" xfDxf="1" dxf="1">
    <nc r="B345" t="inlineStr">
      <is>
        <t>SUSTENTABILE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41" sId="1" xfDxf="1" s="1" dxf="1">
    <nc r="D220" t="inlineStr">
      <is>
        <t>27.823.575/0001-60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42" sId="1" xfDxf="1" s="1" dxf="1">
    <nc r="E221" t="inlineStr">
      <is>
        <t>COMERCIO /  MOTORISTA  OUTUBRO/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43" sId="1" xfDxf="1" s="1" dxf="1">
    <nc r="D221" t="inlineStr">
      <is>
        <t>14.084.022/0001-91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44" sId="1">
    <nc r="F221" t="inlineStr">
      <is>
        <t>Simples</t>
      </is>
    </nc>
  </rcc>
  <rcc rId="2845" sId="1" xfDxf="1" dxf="1">
    <oc r="B221" t="inlineStr">
      <is>
        <t>RAIDEL DE SOUZA PURGATO  COMERCIO /  MOTORISTA                  OUTUBRO                 /   MAIO                        14.084.022/0001-91</t>
      </is>
    </oc>
    <nc r="B221" t="inlineStr">
      <is>
        <t>RAIDEL MATRIZ</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846" sId="2" ref="A346:XFD34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47" sId="2">
    <nc r="A346">
      <v>592</v>
    </nc>
  </rcc>
  <rcc rId="2848" sId="2" xfDxf="1" dxf="1">
    <nc r="B346" t="inlineStr">
      <is>
        <t>RAIDEL MATRIZ</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49" sId="1" xfDxf="1" s="1" dxf="1">
    <nc r="D222" t="inlineStr">
      <is>
        <t>27.970.910/0001-53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2850" sheetId="1" source="D222" destination="D221" sourceSheetId="1">
    <rcc rId="0" sId="1" s="1" dxf="1">
      <nc r="D221" t="inlineStr">
        <is>
          <t>14.084.022/0001-91</t>
        </is>
      </nc>
      <n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ndxf>
    </rcc>
  </rm>
  <rfmt sheetId="1" xfDxf="1" sqref="B222"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851" sId="1">
    <nc r="F222" t="inlineStr">
      <is>
        <t>Simples</t>
      </is>
    </nc>
  </rcc>
  <rrc rId="2852" sId="2" ref="A347:XFD3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53" sId="2">
    <nc r="A347">
      <v>593</v>
    </nc>
  </rcc>
  <rcc rId="2854" sId="2" xfDxf="1" dxf="1">
    <nc r="B347" t="inlineStr">
      <is>
        <t>IBR CONSULTORIA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55" sId="1" xfDxf="1" dxf="1">
    <nc r="D222" t="inlineStr">
      <is>
        <t>24.926.642/0001-84</t>
      </is>
    </nc>
    <ndxf>
      <font>
        <sz val="9"/>
        <name val="Arial"/>
        <scheme val="none"/>
      </font>
      <alignment horizontal="center" vertical="center" readingOrder="0"/>
    </ndxf>
  </rcc>
  <rfmt sheetId="1" sqref="D222" start="0" length="2147483647">
    <dxf>
      <font>
        <color theme="4" tint="-0.249977111117893"/>
      </font>
    </dxf>
  </rfmt>
  <rfmt sheetId="1" sqref="D222" start="0" length="2147483647">
    <dxf>
      <font>
        <u/>
      </font>
    </dxf>
  </rfmt>
  <rfmt sheetId="1" sqref="D222" start="0" length="2147483647">
    <dxf>
      <font>
        <sz val="10"/>
      </font>
    </dxf>
  </rfmt>
  <rcc rId="2856" sId="1" xfDxf="1" s="1" dxf="1">
    <nc r="E223" t="inlineStr">
      <is>
        <t>sind: sindados  Data base: 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57" sId="1" xfDxf="1" s="1" dxf="1">
    <nc r="D223" t="inlineStr">
      <is>
        <t>17.218.689/0001-28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58" sId="1">
    <nc r="F223" t="inlineStr">
      <is>
        <t>Simples</t>
      </is>
    </nc>
  </rcc>
  <rcc rId="2859" sId="1" xfDxf="1" dxf="1">
    <oc r="B223" t="inlineStr">
      <is>
        <t>SMART INOVE LTDA - ME sind: sindados  Data base: Setembro  CNPJ: 17.218.689/0001-28</t>
      </is>
    </oc>
    <nc r="B223" t="inlineStr">
      <is>
        <t>SMART INOVE</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860" sId="2" ref="A348:XFD348"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61" sId="2">
    <nc r="A348">
      <v>594</v>
    </nc>
  </rcc>
  <rcc rId="2862" sId="2" xfDxf="1" dxf="1">
    <nc r="B348" t="inlineStr">
      <is>
        <t>SMART INOVE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63" sId="1">
    <nc r="F224" t="inlineStr">
      <is>
        <t>Simples</t>
      </is>
    </nc>
  </rcc>
  <rcc rId="2864" sId="1" xfDxf="1" s="1" dxf="1">
    <nc r="E224" t="inlineStr">
      <is>
        <t>Data base: setembro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65" sId="1" xfDxf="1" s="1" dxf="1">
    <nc r="D224" t="inlineStr">
      <is>
        <t>23.112.066/0001-79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66" sId="1" xfDxf="1" dxf="1">
    <oc r="B224" t="inlineStr">
      <is>
        <t xml:space="preserve">WARI SISTEMAS LTDA - ME                      Simples 23.112.066/0001-79        Data base: setembro          </t>
      </is>
    </oc>
    <nc r="B224" t="inlineStr">
      <is>
        <t>WARI SISTEMAS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867" sId="2" ref="A349:XFD34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68" sId="2" xfDxf="1" dxf="1">
    <nc r="B349" t="inlineStr">
      <is>
        <t>WARI SISTEMAS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69" sId="2">
    <nc r="A349">
      <v>595</v>
    </nc>
  </rcc>
  <rcc rId="2870" sId="1">
    <nc r="F225" t="inlineStr">
      <is>
        <t>Simples</t>
      </is>
    </nc>
  </rcc>
  <rcc rId="2871" sId="1" xfDxf="1" dxf="1">
    <oc r="B225" t="inlineStr">
      <is>
        <t>K. J. L. BONINCONTRO - ME</t>
      </is>
    </oc>
    <nc r="B225" t="inlineStr">
      <is>
        <t>K. J. L. BONINCONTRO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872" sId="2" ref="A350:XFD35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73" sId="2">
    <nc r="A350">
      <v>596</v>
    </nc>
  </rcc>
  <rcc rId="2874" sId="2" xfDxf="1" dxf="1">
    <nc r="B350" t="inlineStr">
      <is>
        <t>K. J. L. BONINCONTRO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75" sId="1" xfDxf="1" s="1" dxf="1">
    <nc r="D225" t="inlineStr">
      <is>
        <t>28.175.561/0001-40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76" sId="1">
    <nc r="F226" t="inlineStr">
      <is>
        <t>Simples</t>
      </is>
    </nc>
  </rcc>
  <rcc rId="2877" sId="1" xfDxf="1" dxf="1">
    <oc r="B226" t="inlineStr">
      <is>
        <t>ZR ASSESSORIA, LOCAÇÃO E SERVIÇOS EIRELI - ME</t>
      </is>
    </oc>
    <nc r="B226" t="inlineStr">
      <is>
        <t>ZR ASSESSORIA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878" sId="2" ref="A351:XFD35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79" sId="2">
    <nc r="A351">
      <v>597</v>
    </nc>
  </rcc>
  <rcc rId="2880" sId="2" xfDxf="1" dxf="1">
    <nc r="B351" t="inlineStr">
      <is>
        <t>ZR ASSESSORIA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81" sId="1" xfDxf="1" s="1" dxf="1">
    <nc r="D226" t="inlineStr">
      <is>
        <t>28.451.402/0001-21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227" start="0" length="0">
    <dxf>
      <font>
        <sz val="8"/>
        <color auto="1"/>
      </font>
    </dxf>
  </rfmt>
  <rcc rId="2882" sId="1" xfDxf="1" s="1" dxf="1">
    <nc r="E227" t="inlineStr">
      <is>
        <t>COMERCIO JF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D227"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883" sId="1" xfDxf="1" dxf="1">
    <oc r="B227" t="inlineStr">
      <is>
        <t>MSB COMERCIO MATRIZ                    COMERCIO JF               /OUTUBRO       27.970.910/0001-53</t>
      </is>
    </oc>
    <nc r="B227" t="inlineStr">
      <is>
        <t>MSB (MATRIZ)</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227">
    <dxf>
      <alignment vertical="center" readingOrder="0"/>
    </dxf>
  </rfmt>
  <rcc rId="2884" sId="2" xfDxf="1" dxf="1">
    <oc r="B356" t="inlineStr">
      <is>
        <t>MSB COMERCIO DE ROUPAS E ACESSORIOS</t>
      </is>
    </oc>
    <nc r="B356" t="inlineStr">
      <is>
        <t>MSB (MATRIZ)</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85" sId="1" xfDxf="1" s="1" dxf="1">
    <nc r="D227" t="inlineStr">
      <is>
        <t>28.441.423/0001-66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86" sId="1">
    <nc r="F227" t="inlineStr">
      <is>
        <t>Simples</t>
      </is>
    </nc>
  </rcc>
  <rfmt sheetId="1" xfDxf="1" s="1" sqref="D228"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887" sId="1" xfDxf="1" s="1" dxf="1">
    <nc r="E228" t="inlineStr">
      <is>
        <t>FEDERAÇÃO DO COMERCIO -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88" sId="1">
    <nc r="F228" t="inlineStr">
      <is>
        <t>Simples</t>
      </is>
    </nc>
  </rcc>
  <rcc rId="2889" sId="1" xfDxf="1" dxf="1">
    <oc r="B228" t="inlineStr">
      <is>
        <t>RVP IMOVEIS      FEDERAÇÃO DO COMERCIO - JANEIRO       28.441.423/0001-66</t>
      </is>
    </oc>
    <nc r="B228" t="inlineStr">
      <is>
        <t>RVP IMOVEIS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90" sId="1" xfDxf="1" s="1" dxf="1">
    <nc r="D229" t="inlineStr">
      <is>
        <t>28.800.013/0001-64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91" sId="1" xfDxf="1" dxf="1">
    <oc r="B229" t="inlineStr">
      <is>
        <t>SILANE APARECIDA ANDRADE TOSCHI 06998061609</t>
      </is>
    </oc>
    <nc r="B229" t="inlineStr">
      <is>
        <t xml:space="preserve">SILANE APARECIDA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92" sId="1">
    <nc r="F229" t="inlineStr">
      <is>
        <t>SIMEI</t>
      </is>
    </nc>
  </rcc>
  <rrc rId="2893" sId="2" ref="A359:XFD35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894" sId="2">
    <nc r="A359">
      <v>601</v>
    </nc>
  </rcc>
  <rcc rId="2895" sId="2" xfDxf="1" dxf="1">
    <nc r="B359" t="inlineStr">
      <is>
        <t xml:space="preserve">SILANE APARECIDA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896" sId="1" xfDxf="1" s="1" dxf="1">
    <nc r="D228" t="inlineStr">
      <is>
        <t>28.618.793/0001-26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897" sId="1">
    <nc r="F230" t="inlineStr">
      <is>
        <t>Simples</t>
      </is>
    </nc>
  </rcc>
  <rcc rId="2898" sId="1" xfDxf="1" dxf="1">
    <oc r="B230" t="inlineStr">
      <is>
        <t>ARVIPAN</t>
      </is>
    </oc>
    <nc r="B230" t="inlineStr">
      <is>
        <t>ARVI PAN</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899" sId="2" xfDxf="1" dxf="1">
    <oc r="B360" t="inlineStr">
      <is>
        <t>ARV PAN</t>
      </is>
    </oc>
    <nc r="B360" t="inlineStr">
      <is>
        <t>ARVI PAN</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00" sId="1" xfDxf="1" s="1" dxf="1">
    <nc r="D230" t="inlineStr">
      <is>
        <t>27.611.716/0001-81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01" sId="1" xfDxf="1" s="1" dxf="1">
    <nc r="E231" t="inlineStr">
      <is>
        <t>sind: comércio 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02" sId="1" xfDxf="1" s="1" dxf="1">
    <nc r="D231" t="inlineStr">
      <is>
        <t>64.268.568/0001-70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03" sId="1" xfDxf="1" dxf="1">
    <oc r="B231" t="inlineStr">
      <is>
        <t>PURIFIQUE DISTRIBUIDORA E TECNICAS LTDA - ME sind: comércio data base: Outubro  CNPJ:64.268.568/0001-70</t>
      </is>
    </oc>
    <nc r="B231" t="inlineStr">
      <is>
        <t>PURIFIQUE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904" sId="1">
    <nc r="F231" t="inlineStr">
      <is>
        <t>Simples</t>
      </is>
    </nc>
  </rcc>
  <rcc rId="2905" sId="1">
    <nc r="F232" t="inlineStr">
      <is>
        <t>Simples</t>
      </is>
    </nc>
  </rcc>
  <rfmt sheetId="1" xfDxf="1" sqref="B232"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906" sId="1" xfDxf="1" s="1" dxf="1">
    <nc r="D232" t="inlineStr">
      <is>
        <t>23.997.446/0001-38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07" sId="1" xfDxf="1" dxf="1">
    <oc r="B232" t="inlineStr">
      <is>
        <t>TROPICAIANA THAIKETING LTDA ( Pedro Henrique)</t>
      </is>
    </oc>
    <nc r="B232" t="inlineStr">
      <is>
        <t>TROPICAIANA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08" sId="2" ref="A362:XFD36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09" sId="2">
    <nc r="A362">
      <v>604</v>
    </nc>
  </rcc>
  <rcc rId="2910" sId="2" xfDxf="1" dxf="1">
    <nc r="B362" t="inlineStr">
      <is>
        <t>TROPICAIANA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11" sId="1" xfDxf="1" s="1" dxf="1">
    <nc r="D233" t="inlineStr">
      <is>
        <t>05.353.177/0001-95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12" sId="1">
    <nc r="F233" t="inlineStr">
      <is>
        <t>Simples</t>
      </is>
    </nc>
  </rcc>
  <rcc rId="2913" sId="1" xfDxf="1" dxf="1">
    <oc r="B233" t="inlineStr">
      <is>
        <t>ATICA ARQUITETURA</t>
      </is>
    </oc>
    <nc r="B233" t="inlineStr">
      <is>
        <t>ATTICA ARQUITETURA</t>
      </is>
    </nc>
    <ndxf>
      <font>
        <sz val="9"/>
        <color auto="1"/>
        <name val="Arial"/>
        <scheme val="none"/>
      </font>
      <fill>
        <patternFill patternType="solid">
          <bgColor theme="9" tint="0.59999389629810485"/>
        </patternFill>
      </fill>
      <alignment horizontal="left" vertical="center" wrapText="1" readingOrder="0"/>
      <border outline="0">
        <left style="thin">
          <color indexed="64"/>
        </left>
        <right style="thin">
          <color indexed="64"/>
        </right>
        <top style="thin">
          <color indexed="64"/>
        </top>
        <bottom style="thin">
          <color indexed="64"/>
        </bottom>
      </border>
    </ndxf>
  </rcc>
  <rrc rId="2914" sId="2" ref="A363:XFD36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15" sId="2">
    <nc r="A363">
      <v>605</v>
    </nc>
  </rcc>
  <rcc rId="2916" sId="2" xfDxf="1" dxf="1">
    <nc r="B363" t="inlineStr">
      <is>
        <t>ATTICA ARQUITETURA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17" sId="1" xfDxf="1" s="1" dxf="1">
    <nc r="D234" t="inlineStr">
      <is>
        <t>21.346.921/0001-80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18" sId="1" xfDxf="1" s="1" dxf="1">
    <nc r="E234" t="inlineStr">
      <is>
        <t>SINDIBREF/JANEIRO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19" sId="1">
    <nc r="F234" t="inlineStr">
      <is>
        <t>Associação</t>
      </is>
    </nc>
  </rcc>
  <rcc rId="2920" sId="1" xfDxf="1" dxf="1">
    <oc r="B234" t="inlineStr">
      <is>
        <t>ASSOCIAÇÃO  MORADA DA GARÇA SINDIBREF/JANEIRO          21.346.921/0001-80</t>
      </is>
    </oc>
    <nc r="B234" t="inlineStr">
      <is>
        <t>MORADA DA GARCA</t>
      </is>
    </nc>
    <ndxf>
      <font>
        <sz val="8"/>
        <color auto="1"/>
        <name val="Arial"/>
        <scheme val="none"/>
      </font>
      <fill>
        <patternFill patternType="solid">
          <bgColor rgb="FFFFFF00"/>
        </patternFill>
      </fill>
      <alignment horizontal="left" vertical="center" wrapText="1" readingOrder="0"/>
      <border outline="0">
        <left style="thin">
          <color indexed="64"/>
        </left>
        <right style="thin">
          <color indexed="64"/>
        </right>
        <top style="thin">
          <color indexed="64"/>
        </top>
        <bottom style="thin">
          <color indexed="64"/>
        </bottom>
      </border>
    </ndxf>
  </rcc>
  <rcc rId="2921" sId="2" xfDxf="1" dxf="1">
    <oc r="B364" t="inlineStr">
      <is>
        <t>MORADA DA GARÇA</t>
      </is>
    </oc>
    <nc r="B364" t="inlineStr">
      <is>
        <t>MORADA DA GARCA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22" sId="1">
    <nc r="F235" t="inlineStr">
      <is>
        <t>Simples</t>
      </is>
    </nc>
  </rcc>
  <rcc rId="2923" sId="1" xfDxf="1" dxf="1">
    <oc r="B235" t="inlineStr">
      <is>
        <t>ESCOLA DE NEGOCIOS JF LTDA</t>
      </is>
    </oc>
    <nc r="B235" t="inlineStr">
      <is>
        <t>ESCOLA DE NEGOCIOS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924" sId="1" xfDxf="1" s="1" dxf="1">
    <nc r="D235" t="inlineStr">
      <is>
        <t>29.621.891/0001-85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25" sId="1" xfDxf="1" dxf="1">
    <nc r="B236" t="inlineStr">
      <is>
        <t>RENATO- MOR GARCA</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26" sId="2" ref="A366:XFD36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27" sId="2">
    <nc r="A366">
      <v>649</v>
    </nc>
  </rcc>
  <rcc rId="2928" sId="2" xfDxf="1" dxf="1">
    <nc r="B366" t="inlineStr">
      <is>
        <t>RENATO- MOR GARCA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29" sId="1" xfDxf="1" s="1" dxf="1">
    <nc r="D236" t="inlineStr">
      <is>
        <t>018.466.046-72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30" sId="1">
    <nc r="F236" t="inlineStr">
      <is>
        <t>Morada da Garca</t>
      </is>
    </nc>
  </rcc>
  <rcc rId="2931" sId="1" xfDxf="1" s="1" dxf="1">
    <nc r="E237" t="inlineStr">
      <is>
        <t>Data base: Janeiro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32" sId="1" xfDxf="1" s="1" dxf="1">
    <nc r="D237" t="inlineStr">
      <is>
        <t>03.317.966/0001-45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33" sId="1">
    <nc r="F237" t="inlineStr">
      <is>
        <t>Simples</t>
      </is>
    </nc>
  </rcc>
  <rcc rId="2934" sId="1" xfDxf="1" dxf="1">
    <oc r="B237" t="inlineStr">
      <is>
        <t>CONTRATA CORRETORA E ADMINISTRADORA DE SEGUROS LTDA                                             Simples 03.317.966/0001-45            Data base: Janeiro</t>
      </is>
    </oc>
    <nc r="B237" t="inlineStr">
      <is>
        <t xml:space="preserve">CONTRATA CORRETORA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35" sId="2" ref="A367:XFD36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36" sId="2">
    <nc r="A367">
      <v>662</v>
    </nc>
  </rcc>
  <rcc rId="2937" sId="2" xfDxf="1" dxf="1">
    <nc r="B367" t="inlineStr">
      <is>
        <t xml:space="preserve">CONTRATA CORRETORA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38" sId="1" xfDxf="1" s="1" dxf="1">
    <nc r="E239" t="inlineStr">
      <is>
        <t xml:space="preserve"> 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39" sId="1" xfDxf="1" s="1" dxf="1">
    <nc r="D239" t="inlineStr">
      <is>
        <t>30.020.084/0001-96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40" sId="1" xfDxf="1" dxf="1">
    <oc r="B239" t="inlineStr">
      <is>
        <t>INSTITUTO INOVAR ODONTOLOGIA LTDA sind: saúde data base:Maio CNPJ: 30.020.084/0001-96</t>
      </is>
    </oc>
    <nc r="B239" t="inlineStr">
      <is>
        <t>JF IMPLANTES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941" sId="1">
    <nc r="F239" t="inlineStr">
      <is>
        <t>Simples</t>
      </is>
    </nc>
  </rcc>
  <rcc rId="2942" sId="2" xfDxf="1" dxf="1">
    <oc r="B368" t="inlineStr">
      <is>
        <t>jf implante (clinica inovar)</t>
      </is>
    </oc>
    <nc r="B368" t="inlineStr">
      <is>
        <t>JF IMPLANTES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43" sId="1" xfDxf="1" s="1" dxf="1">
    <nc r="E238" t="inlineStr">
      <is>
        <t>SINTAPPI SESCON</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44" sId="1">
    <nc r="F238" t="inlineStr">
      <is>
        <t>Presumido</t>
      </is>
    </nc>
  </rcc>
  <rcc rId="2945" sId="1" xfDxf="1" s="1" dxf="1">
    <nc r="D238" t="inlineStr">
      <is>
        <t>14.372.339/0001-23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46" sId="1" xfDxf="1" dxf="1">
    <oc r="B238" t="inlineStr">
      <is>
        <t xml:space="preserve">I-GREEN SOLUCOES                             14.372.339/0001-23               SINTAPPI SESCON           Data Base: MAIO  PRESUMIDO </t>
      </is>
    </oc>
    <nc r="B238" t="inlineStr">
      <is>
        <t xml:space="preserve">I GREEN SOLUCOES </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47" sId="2" ref="A368:XFD368"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48" sId="2">
    <nc r="A368">
      <v>664</v>
    </nc>
  </rcc>
  <rcc rId="2949" sId="2" xfDxf="1" dxf="1">
    <nc r="B368" t="inlineStr">
      <is>
        <t xml:space="preserve">I GREEN SOLUCOES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0" sId="1" xfDxf="1" s="1" dxf="1">
    <nc r="D240" t="inlineStr">
      <is>
        <t>29.945.945/0001-68</t>
      </is>
    </nc>
    <ndxf>
      <font>
        <b val="0"/>
        <i val="0"/>
        <strike val="0"/>
        <condense val="0"/>
        <extend val="0"/>
        <outline val="0"/>
        <shadow val="0"/>
        <u/>
        <vertAlign val="baseline"/>
        <sz val="9"/>
        <color theme="10"/>
        <name val="Arial"/>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51" sId="1">
    <nc r="F240" t="inlineStr">
      <is>
        <t>Simples</t>
      </is>
    </nc>
  </rcc>
  <rcc rId="2952" sId="1" xfDxf="1" dxf="1">
    <oc r="B240" t="inlineStr">
      <is>
        <t>RATIFIX SERVIÇOS DIGITAIS LTDA</t>
      </is>
    </oc>
    <nc r="B240" t="inlineStr">
      <is>
        <t>RATIFIX</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53" sId="2" ref="A370:XFD37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54" sId="2">
    <nc r="A370">
      <v>666</v>
    </nc>
  </rcc>
  <rcc rId="2955" sId="2" xfDxf="1" dxf="1">
    <nc r="B370" t="inlineStr">
      <is>
        <t>RATIFIX</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56" sId="1" xfDxf="1" s="1" dxf="1">
    <nc r="E241" t="inlineStr">
      <is>
        <t>Data base: abril</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D241"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2957" sId="1" xfDxf="1" s="1" dxf="1">
    <nc r="D241" t="inlineStr">
      <is>
        <t>30.013.112/0001-48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58" sId="1">
    <nc r="F241" t="inlineStr">
      <is>
        <t>Simples</t>
      </is>
    </nc>
  </rcc>
  <rcc rId="2959" sId="1" xfDxf="1" dxf="1">
    <oc r="B241" t="inlineStr">
      <is>
        <t xml:space="preserve">MV CONSTRUÇÕES                   Simples 30.013.112/0001-48    Data base: abril                </t>
      </is>
    </oc>
    <nc r="B241" t="inlineStr">
      <is>
        <t>MV CONSTRUCOES</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60" sId="2" ref="A371:XFD37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61" sId="2">
    <nc r="A371">
      <v>667</v>
    </nc>
  </rcc>
  <rcc rId="2962" sId="2" xfDxf="1" dxf="1">
    <nc r="B371" t="inlineStr">
      <is>
        <t>MV CONSTRUCOES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63" sId="1">
    <nc r="F242" t="inlineStr">
      <is>
        <t>Simples</t>
      </is>
    </nc>
  </rcc>
  <rcc rId="2964" sId="1" xfDxf="1" dxf="1">
    <oc r="B242" t="inlineStr">
      <is>
        <t>PALOMA MATHEUS DE ARAUJO GOMES</t>
      </is>
    </oc>
    <nc r="B242" t="inlineStr">
      <is>
        <t>PALOMA MATHEUS</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965" sId="1" xfDxf="1" s="1" dxf="1">
    <nc r="D242" t="inlineStr">
      <is>
        <t>30.045.665/0001-82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243" start="0" length="0">
    <dxf>
      <font>
        <sz val="8"/>
        <color auto="1"/>
      </font>
    </dxf>
  </rfmt>
  <rcc rId="2966" sId="1" xfDxf="1" s="1" dxf="1">
    <nc r="D243" t="inlineStr">
      <is>
        <t>21.526.470/0001-63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67" sId="1">
    <nc r="F243" t="inlineStr">
      <is>
        <t>Simples</t>
      </is>
    </nc>
  </rcc>
  <rcc rId="2968" sId="1" xfDxf="1" s="1" dxf="1">
    <nc r="E243" t="inlineStr">
      <is>
        <t>Data base:  comercio  outubro  e maio motorista</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69" sId="1" xfDxf="1" dxf="1">
    <oc r="B243" t="inlineStr">
      <is>
        <t xml:space="preserve">MADEIRAS XINGUARA LTDA                               Simples 21.526.470/0001-63                      Data base:  comercio  outubro  e maio motorista  </t>
      </is>
    </oc>
    <nc r="B243" t="inlineStr">
      <is>
        <t>MADEIRAS XINGUARA MT</t>
      </is>
    </nc>
    <ndxf>
      <font>
        <sz val="8"/>
        <color auto="1"/>
      </font>
      <fill>
        <patternFill patternType="solid">
          <bgColor theme="0"/>
        </patternFill>
      </fill>
      <alignment vertical="top" wrapText="1" readingOrder="0"/>
      <border outline="0">
        <left style="thin">
          <color indexed="64"/>
        </left>
        <right style="thin">
          <color indexed="64"/>
        </right>
        <top style="thin">
          <color indexed="64"/>
        </top>
        <bottom style="thin">
          <color indexed="64"/>
        </bottom>
      </border>
    </ndxf>
  </rcc>
  <rfmt sheetId="1" sqref="B243">
    <dxf>
      <alignment vertical="center" readingOrder="0"/>
    </dxf>
  </rfmt>
  <rrc rId="2970" sId="2" ref="A373:XFD37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71" sId="2">
    <nc r="A373">
      <v>669</v>
    </nc>
  </rcc>
  <rcc rId="2972" sId="2" xfDxf="1" dxf="1">
    <nc r="B373" t="inlineStr">
      <is>
        <t>MADEIRAS XINGUARA MT</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3" sId="1">
    <nc r="F244" t="inlineStr">
      <is>
        <t>Simples</t>
      </is>
    </nc>
  </rcc>
  <rcc rId="2974" sId="1" xfDxf="1" dxf="1">
    <oc r="B244" t="inlineStr">
      <is>
        <t xml:space="preserve">LANZONI &amp; LAGUARDIA LTDA                            </t>
      </is>
    </oc>
    <nc r="B244" t="inlineStr">
      <is>
        <t>LANZONI &amp; LAGUARDIA</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75" sId="2" ref="A374:XFD37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76" sId="2">
    <nc r="A374">
      <v>670</v>
    </nc>
  </rcc>
  <rcc rId="2977" sId="2" xfDxf="1" dxf="1">
    <nc r="B374" t="inlineStr">
      <is>
        <t>LANZONI &amp; LAGUARDIA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78" sId="1" xfDxf="1" s="1" dxf="1">
    <nc r="D244" t="inlineStr">
      <is>
        <t>07.450.106/0001-36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79" sId="1" xfDxf="1" s="1" dxf="1">
    <nc r="D245" t="inlineStr">
      <is>
        <t>30.226.538/0001-80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80" sId="1">
    <nc r="F245" t="inlineStr">
      <is>
        <t>Simples</t>
      </is>
    </nc>
  </rcc>
  <rcc rId="2981" sId="1" xfDxf="1" dxf="1">
    <oc r="B245" t="inlineStr">
      <is>
        <t>BDP REPRESENTACOES LTDA</t>
      </is>
    </oc>
    <nc r="B245" t="inlineStr">
      <is>
        <t>BDP REPRESENTAÇÕES</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82" sId="2" ref="A376:XFD37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83" sId="2">
    <nc r="A376">
      <v>674</v>
    </nc>
  </rcc>
  <rcc rId="2984" sId="2" xfDxf="1" dxf="1">
    <nc r="B376" t="inlineStr">
      <is>
        <t>BDP REPRESENTAÇÕES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85" sId="1" xfDxf="1" s="1" dxf="1">
    <nc r="D246" t="inlineStr">
      <is>
        <t>330.493.196-15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86" sId="1">
    <nc r="F246" t="inlineStr">
      <is>
        <t>Doméstica</t>
      </is>
    </nc>
  </rcc>
  <rcc rId="2987" sId="1" xfDxf="1" dxf="1">
    <oc r="B246" t="inlineStr">
      <is>
        <t xml:space="preserve">LUZIA GLORIA CORREA FILHO                                              </t>
      </is>
    </oc>
    <nc r="B246" t="inlineStr">
      <is>
        <t xml:space="preserve">LUZIA GLORIA CORREA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2988" sId="2" ref="A377:XFD37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2989" sId="2">
    <nc r="A377">
      <v>675</v>
    </nc>
  </rcc>
  <rcc rId="2990" sId="2" xfDxf="1" dxf="1">
    <nc r="B377" t="inlineStr">
      <is>
        <t xml:space="preserve">LUZIA GLORIA CORREA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91" sId="1">
    <nc r="D247" t="inlineStr">
      <is>
        <t>CEI 512430858609</t>
      </is>
    </nc>
  </rcc>
  <rcc rId="2992" sId="1" xfDxf="1" s="1" dxf="1">
    <nc r="E247" t="inlineStr">
      <is>
        <t>SAUDE JF 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93" sId="1" xfDxf="1" dxf="1">
    <oc r="B247" t="inlineStr">
      <is>
        <t xml:space="preserve">JEAN KHOURY JOSE                                                            CEI 512430858609        SAUDE JF                           Data Base: MAIO   </t>
      </is>
    </oc>
    <nc r="B247" t="inlineStr">
      <is>
        <t>JEAN KHOURY JOSE</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2994" sId="1">
    <nc r="F247" t="inlineStr">
      <is>
        <t>CEI</t>
      </is>
    </nc>
  </rcc>
  <rcc rId="2995" sId="2" xfDxf="1" dxf="1">
    <oc r="B378" t="inlineStr">
      <is>
        <t>Jean Khoury</t>
      </is>
    </oc>
    <nc r="B378" t="inlineStr">
      <is>
        <t>JEAN KHOURY JOSE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96" sId="1" xfDxf="1" s="1" dxf="1">
    <nc r="D248" t="inlineStr">
      <is>
        <t>474.712.476-49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2997" sId="1">
    <nc r="F248" t="inlineStr">
      <is>
        <t>Doméstica</t>
      </is>
    </nc>
  </rcc>
  <rfmt sheetId="1" xfDxf="1" sqref="B248"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2998" sId="2" xfDxf="1" dxf="1">
    <oc r="B379" t="inlineStr">
      <is>
        <t xml:space="preserve">AFONSO ROTONDO </t>
      </is>
    </oc>
    <nc r="B379" t="inlineStr">
      <is>
        <t>AFONSO CELSO ROTONDO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2999" sId="1" xfDxf="1" s="1" dxf="1">
    <nc r="D249" t="inlineStr">
      <is>
        <t>037.259.346-14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00" sId="1">
    <nc r="F249" t="inlineStr">
      <is>
        <t>Doméstica</t>
      </is>
    </nc>
  </rcc>
  <rfmt sheetId="1" xfDxf="1" sqref="B249"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rc rId="3001" sId="2" ref="A380:XFD38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02" sId="2">
    <nc r="A380">
      <v>678</v>
    </nc>
  </rcc>
  <rcc rId="3003" sId="2" xfDxf="1" dxf="1">
    <nc r="B380" t="inlineStr">
      <is>
        <t>LILIANE GRAZINOLI ALVES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2" sqref="A380" start="0" length="2147483647">
    <dxf>
      <font>
        <color theme="1"/>
      </font>
    </dxf>
  </rfmt>
  <rcc rId="3004" sId="1">
    <nc r="F250" t="inlineStr">
      <is>
        <t>Simples</t>
      </is>
    </nc>
  </rcc>
  <rcc rId="3005" sId="1" xfDxf="1" dxf="1">
    <oc r="B250" t="inlineStr">
      <is>
        <t>IDERALDO JERRE DE PAULA</t>
      </is>
    </oc>
    <nc r="B250" t="inlineStr">
      <is>
        <t>IDERALDO JERRE</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3006" sId="2" ref="A381:XFD38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07" sId="2">
    <nc r="A381">
      <v>680</v>
    </nc>
  </rcc>
  <rcc rId="3008" sId="2" xfDxf="1" dxf="1">
    <nc r="B381" t="inlineStr">
      <is>
        <t>IDERALDO JERRE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009" sId="1" xfDxf="1" s="1" dxf="1">
    <nc r="D250" t="inlineStr">
      <is>
        <t>30.390.839/0001-44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10" sId="1">
    <nc r="F405" t="inlineStr">
      <is>
        <t>Simples</t>
      </is>
    </nc>
  </rcc>
  <rcc rId="3011" sId="1">
    <nc r="F406" t="inlineStr">
      <is>
        <t>Simples</t>
      </is>
    </nc>
  </rcc>
  <rfmt sheetId="1" xfDxf="1" s="1" sqref="D396"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1" xfDxf="1" sqref="B396" start="0" length="0">
    <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rc rId="3012"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13" sId="2">
    <nc r="A436">
      <v>886</v>
    </nc>
  </rcc>
  <rcc rId="3014" sId="2" xfDxf="1" dxf="1">
    <nc r="B436" t="inlineStr">
      <is>
        <t>VANIA APARECIDA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15" sId="1" xfDxf="1" s="1" dxf="1">
    <nc r="D391" t="inlineStr">
      <is>
        <t>32.679.249/0001-61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16" sId="1" xfDxf="1" dxf="1">
    <oc r="B391" t="inlineStr">
      <is>
        <t>ERIC SURERUS SARMENTO                32.679.249/0001-61                                      Data Base:</t>
      </is>
    </oc>
    <nc r="B391" t="inlineStr">
      <is>
        <t>ERIC SURERUS SARMENTO</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017" sId="1">
    <nc r="F391" t="inlineStr">
      <is>
        <t>MEI</t>
      </is>
    </nc>
  </rcc>
  <rrc rId="3018"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19" sId="2">
    <nc r="A437">
      <v>892</v>
    </nc>
  </rcc>
  <rcc rId="3020" sId="2" xfDxf="1" dxf="1">
    <nc r="B437" t="inlineStr">
      <is>
        <t>ERIC SURERUS SARMENTO</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21" sId="1" xfDxf="1" s="1" dxf="1">
    <nc r="D390" t="inlineStr">
      <is>
        <t>33.926.046/0001-95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22" sId="1" xfDxf="1" dxf="1">
    <oc r="B390" t="inlineStr">
      <is>
        <t>NAYLA CRISTINA SACELUTE</t>
      </is>
    </oc>
    <nc r="B390" t="inlineStr">
      <is>
        <t>NAYLA CRISTINA SACEL</t>
      </is>
    </nc>
    <n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023" sId="1">
    <nc r="F390" t="inlineStr">
      <is>
        <t>MEI</t>
      </is>
    </nc>
  </rcc>
  <rrc rId="3024"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25" sId="2">
    <nc r="A437">
      <v>891</v>
    </nc>
  </rcc>
  <rcc rId="3026" sId="2" xfDxf="1" dxf="1">
    <nc r="B437" t="inlineStr">
      <is>
        <t>NAYLA CRISTINA SACEL</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27" sId="1">
    <nc r="F389" t="inlineStr">
      <is>
        <t>Simples</t>
      </is>
    </nc>
  </rcc>
  <rcc rId="3028" sId="1" xfDxf="1" dxf="1">
    <oc r="B389" t="inlineStr">
      <is>
        <t>CIANO GRIS COMERCIO</t>
      </is>
    </oc>
    <nc r="B389" t="inlineStr">
      <is>
        <t xml:space="preserve">CIANO GRIS COMERCIO </t>
      </is>
    </nc>
    <ndxf>
      <font>
        <sz val="8"/>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3029"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30" sId="2">
    <nc r="A437">
      <v>889</v>
    </nc>
  </rcc>
  <rcc rId="3031" sId="2" xfDxf="1" dxf="1">
    <nc r="B437" t="inlineStr">
      <is>
        <t xml:space="preserve">CIANO GRIS COMERCIO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32" sId="1" xfDxf="1" s="1" dxf="1">
    <nc r="D389" t="inlineStr">
      <is>
        <t>35.689.955/0001-82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33" sId="1">
    <nc r="F388" t="inlineStr">
      <is>
        <t>Simples</t>
      </is>
    </nc>
  </rcc>
  <rcc rId="3034" sId="1" xfDxf="1" dxf="1">
    <oc r="B388" t="inlineStr">
      <is>
        <t>IMMUNIZE CENTRO DE VACINAÇÃO</t>
      </is>
    </oc>
    <nc r="B388" t="inlineStr">
      <is>
        <t xml:space="preserve">IMMUNIZE CENTRO </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3035"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36" sId="2">
    <nc r="A437">
      <v>888</v>
    </nc>
  </rcc>
  <rcc rId="3037" sId="2" xfDxf="1" dxf="1">
    <nc r="B437" t="inlineStr">
      <is>
        <t xml:space="preserve">IMMUNIZE CENTRO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38" sId="1" xfDxf="1" s="1" dxf="1">
    <nc r="D388" t="inlineStr">
      <is>
        <t>35.676.010/0001-26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39" sId="1">
    <nc r="F387" t="inlineStr">
      <is>
        <t>Simples</t>
      </is>
    </nc>
  </rcc>
  <rcc rId="3040" sId="1" xfDxf="1" dxf="1">
    <oc r="B387" t="inlineStr">
      <is>
        <t>IMERSA AUDIOVISUAL MULTIMIDA</t>
      </is>
    </oc>
    <nc r="B387" t="inlineStr">
      <is>
        <t xml:space="preserve">IMERSA AUDIOVISUAL </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3041"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42" sId="2">
    <nc r="A437">
      <v>887</v>
    </nc>
  </rcc>
  <rcc rId="3043" sId="2" xfDxf="1" dxf="1">
    <nc r="B437" t="inlineStr">
      <is>
        <t xml:space="preserve">IMERSA AUDIOVISUAL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44" sId="1" xfDxf="1" s="1" dxf="1">
    <nc r="D387" t="inlineStr">
      <is>
        <t>27.319.815/0001-94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45" sId="1">
    <nc r="F386" t="inlineStr">
      <is>
        <t>Simples</t>
      </is>
    </nc>
  </rcc>
  <rfmt sheetId="1" xfDxf="1" sqref="B386"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046" sId="1">
    <oc r="B386" t="inlineStr">
      <is>
        <t>FEB PEREIRA RAV CENTRO AUTOMOTIVO</t>
      </is>
    </oc>
    <nc r="B386" t="inlineStr">
      <is>
        <t>RAV CENTRO AUTOMOTIVO</t>
      </is>
    </nc>
  </rcc>
  <rrc rId="3047"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48" sId="2">
    <nc r="A436">
      <v>885</v>
    </nc>
  </rcc>
  <rcc rId="3049" sId="2" xfDxf="1" dxf="1">
    <nc r="B436" t="inlineStr">
      <is>
        <t>RAV CENTRO AUTOMOTIVO</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50" sId="1" xfDxf="1" s="1" dxf="1">
    <nc r="D386" t="inlineStr">
      <is>
        <t>35.607.139/0001-82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85"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051" sId="1">
    <nc r="F385" t="inlineStr">
      <is>
        <t>Simples</t>
      </is>
    </nc>
  </rcc>
  <rrc rId="3052"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53" sId="2">
    <nc r="A436">
      <v>884</v>
    </nc>
  </rcc>
  <rcc rId="3054" sId="2" xfDxf="1" dxf="1">
    <nc r="B436" t="inlineStr">
      <is>
        <t>QUESTÃO CABINES</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55" sId="1" xfDxf="1" s="1" dxf="1">
    <nc r="D385" t="inlineStr">
      <is>
        <t>35.547.825/0001-05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56" sId="1">
    <nc r="F384" t="inlineStr">
      <is>
        <t>Simples</t>
      </is>
    </nc>
  </rcc>
  <rcc rId="3057" sId="1" xfDxf="1" dxf="1">
    <oc r="B384" t="inlineStr">
      <is>
        <t>ATIVA REPRESENTAÇÃO COM.LT</t>
      </is>
    </oc>
    <nc r="B384" t="inlineStr">
      <is>
        <t>ATIVA REPRESENTACAO</t>
      </is>
    </nc>
    <n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3058"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59" sId="2">
    <nc r="A436">
      <v>882</v>
    </nc>
  </rcc>
  <rcc rId="3060" sId="2" xfDxf="1" dxf="1">
    <nc r="B436" t="inlineStr">
      <is>
        <t>ATIVA REPRESENTACAO</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61" sId="1" xfDxf="1" s="1" dxf="1">
    <nc r="D384" t="inlineStr">
      <is>
        <t>35.509.657/0001-63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62" sId="1">
    <nc r="F383" t="inlineStr">
      <is>
        <t>Simples</t>
      </is>
    </nc>
  </rcc>
  <rfmt sheetId="1" xfDxf="1" sqref="B383" start="0" length="0">
    <dxf>
      <font>
        <sz val="10"/>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rc rId="3063"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64" sId="2">
    <nc r="A436">
      <v>881</v>
    </nc>
  </rcc>
  <rfmt sheetId="2" xfDxf="1" sqref="B436"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3065" sId="2">
    <nc r="B436" t="inlineStr">
      <is>
        <t>DFD ENSINO E PROPAGANDA</t>
      </is>
    </nc>
  </rcc>
  <rcc rId="3066" sId="1">
    <oc r="B383" t="inlineStr">
      <is>
        <t>DFD ENSINO E PROPAGANDA LTDA</t>
      </is>
    </oc>
    <nc r="B383" t="inlineStr">
      <is>
        <t>DFD ENSINO E PROPAGANDA</t>
      </is>
    </nc>
  </rcc>
  <rcc rId="3067" sId="1" xfDxf="1" s="1" dxf="1">
    <nc r="D383" t="inlineStr">
      <is>
        <t>35.489.159/0001-04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82" start="0" length="0">
    <dxf>
      <font>
        <sz val="9"/>
        <color auto="1"/>
        <name val="Arial"/>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068" sId="2" xfDxf="1" dxf="1">
    <oc r="B435" t="inlineStr">
      <is>
        <t>Anderson Laier</t>
      </is>
    </oc>
    <nc r="B435" t="inlineStr">
      <is>
        <t>ANDERSON LAIER LOPES</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69" sId="1" xfDxf="1" s="1" dxf="1">
    <nc r="D382" t="inlineStr">
      <is>
        <t>17.300.563/0001-06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70" sId="1">
    <nc r="F382" t="inlineStr">
      <is>
        <t>Simples</t>
      </is>
    </nc>
  </rcc>
  <rcc rId="3071" sId="1">
    <nc r="F381" t="inlineStr">
      <is>
        <t>Simples</t>
      </is>
    </nc>
  </rcc>
  <rfmt sheetId="1" xfDxf="1" sqref="B381"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3072" sId="1">
    <oc r="B381" t="inlineStr">
      <is>
        <t>LANNA E CASTRO SERV MEDICOS</t>
      </is>
    </oc>
    <nc r="B381" t="inlineStr">
      <is>
        <t>LANNA E CASTRO SERVICOS MEDICOS</t>
      </is>
    </nc>
  </rcc>
  <rrc rId="3073" sId="2" ref="A435:XFD43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74" sId="2">
    <nc r="A435">
      <v>878</v>
    </nc>
  </rcc>
  <rfmt sheetId="2" xfDxf="1" sqref="B435"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fmt sheetId="2" sqref="B435" start="0" length="2147483647">
    <dxf>
      <font>
        <sz val="9.4"/>
      </font>
    </dxf>
  </rfmt>
  <rfmt sheetId="2" sqref="B435" start="0" length="2147483647">
    <dxf>
      <font>
        <sz val="9"/>
      </font>
    </dxf>
  </rfmt>
  <rcc rId="3075" sId="2">
    <nc r="B435" t="inlineStr">
      <is>
        <t>LANNA E CASTRO SERVICOS MEDICOS</t>
      </is>
    </nc>
  </rcc>
  <rfmt sheetId="2" sqref="B435" start="0" length="2147483647">
    <dxf>
      <font>
        <sz val="10"/>
      </font>
    </dxf>
  </rfmt>
  <rcc rId="3076" sId="1" xfDxf="1" s="1" dxf="1">
    <nc r="D381" t="inlineStr">
      <is>
        <t>35.309.997/0001-40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77" sId="1">
    <nc r="F380" t="inlineStr">
      <is>
        <t>Simples</t>
      </is>
    </nc>
  </rcc>
  <rcc rId="3078" sId="1" xfDxf="1" dxf="1">
    <oc r="B380" t="inlineStr">
      <is>
        <t>MENDES FRREIRA ENG</t>
      </is>
    </oc>
    <nc r="B380" t="inlineStr">
      <is>
        <t>MENDES FERREIRA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79" sId="2" xfDxf="1" dxf="1">
    <oc r="B434" t="inlineStr">
      <is>
        <t>MENDES FRREIRA ENG</t>
      </is>
    </oc>
    <nc r="B434" t="inlineStr">
      <is>
        <t>MENDES FERREIRA</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080" sId="1" xfDxf="1" s="1" dxf="1">
    <nc r="D380" t="inlineStr">
      <is>
        <t>35.301.426/0001-60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79"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3081" sId="1">
    <oc r="B379" t="inlineStr">
      <is>
        <t>Jorge da Silva Moraes</t>
      </is>
    </oc>
    <nc r="B379" t="inlineStr">
      <is>
        <t>JORGE DA SILVA MORAES</t>
      </is>
    </nc>
  </rcc>
  <rcc rId="3082" sId="1">
    <nc r="F379" t="inlineStr">
      <is>
        <t>Simples</t>
      </is>
    </nc>
  </rcc>
  <rrc rId="3083" sId="2" ref="A434:XFD43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84" sId="2">
    <nc r="A434">
      <v>875</v>
    </nc>
  </rcc>
  <rfmt sheetId="2" xfDxf="1" sqref="B434"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085" sId="2">
    <nc r="B434" t="inlineStr">
      <is>
        <t>JORGE DA SILVA MORAES</t>
      </is>
    </nc>
  </rcc>
  <rcc rId="3086" sId="1" xfDxf="1" s="1" dxf="1">
    <nc r="D379" t="inlineStr">
      <is>
        <t>16.529.485/0001-45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87" sId="1">
    <nc r="F378" t="inlineStr">
      <is>
        <t>Presumido</t>
      </is>
    </nc>
  </rcc>
  <rcc rId="3088" sId="1" xfDxf="1" dxf="1">
    <oc r="B378" t="inlineStr">
      <is>
        <t xml:space="preserve">LOTEAMENTO OURO DE MINAS PRESUMIDO </t>
      </is>
    </oc>
    <nc r="B378" t="inlineStr">
      <is>
        <t>LOTEAMENTO OURO DE MINAS</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rc rId="3089" sId="2" ref="A434:XFD43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90" sId="2">
    <nc r="A434">
      <v>874</v>
    </nc>
  </rcc>
  <rcc rId="3091" sId="2" xfDxf="1" dxf="1">
    <nc r="B434" t="inlineStr">
      <is>
        <t>LOTEAMENTO OURO DE MINAS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092" sId="1" xfDxf="1" s="1" dxf="1">
    <nc r="D378" t="inlineStr">
      <is>
        <t>35.160.372/0001-60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93" sId="1">
    <nc r="F377" t="inlineStr">
      <is>
        <t>Simples</t>
      </is>
    </nc>
  </rcc>
  <rcc rId="3094" sId="1" xfDxf="1" dxf="1">
    <oc r="B377" t="inlineStr">
      <is>
        <t>FIESTA COM DE BEBIDAS LTDA</t>
      </is>
    </oc>
    <nc r="B377" t="inlineStr">
      <is>
        <t xml:space="preserve">FIESTA COMERCIO </t>
      </is>
    </nc>
    <n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rc rId="3095" sId="2" ref="A434:XFD43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096" sId="2" xfDxf="1" dxf="1">
    <nc r="B434" t="inlineStr">
      <is>
        <t xml:space="preserve">FIESTA COMERCIO </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097" sId="2">
    <nc r="A434">
      <v>873</v>
    </nc>
  </rcc>
  <rcc rId="3098" sId="1" xfDxf="1" s="1" dxf="1">
    <nc r="D377" t="inlineStr">
      <is>
        <t>35.135.899/0001-34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099" sId="1" xfDxf="1" s="1" dxf="1">
    <nc r="D376" t="inlineStr">
      <is>
        <t>32.556.992/0001-24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00" sId="1" xfDxf="1" dxf="1">
    <oc r="B376" t="inlineStr">
      <is>
        <t>MAYKON FERREIRA DE S</t>
      </is>
    </oc>
    <nc r="B376" t="inlineStr">
      <is>
        <t>MAYKON FERREIRA DE SOUZA</t>
      </is>
    </nc>
    <ndxf>
      <font>
        <sz val="8"/>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rc rId="3101" sId="2" ref="A434:XFD43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02" sId="2">
    <nc r="A434">
      <v>872</v>
    </nc>
  </rcc>
  <rcc rId="3103" sId="2" xfDxf="1" dxf="1">
    <nc r="B434" t="inlineStr">
      <is>
        <t>MAYKON FERREIRA DE SOUZA</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04" sId="1">
    <nc r="F376" t="inlineStr">
      <is>
        <t>Simples</t>
      </is>
    </nc>
  </rcc>
  <rcc rId="3105" sId="1">
    <nc r="F375" t="inlineStr">
      <is>
        <t>Simples</t>
      </is>
    </nc>
  </rcc>
  <rfmt sheetId="1" xfDxf="1" sqref="B375"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3106" sId="1">
    <oc r="B375" t="inlineStr">
      <is>
        <t>VIDA EM MOVIMENTO FISIOTER</t>
      </is>
    </oc>
    <nc r="B375" t="inlineStr">
      <is>
        <t>VIDA EM MOVIMENTO</t>
      </is>
    </nc>
  </rcc>
  <rrc rId="3107" sId="2" ref="A434:XFD43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08" sId="2">
    <nc r="A434">
      <v>871</v>
    </nc>
  </rcc>
  <rfmt sheetId="2" xfDxf="1" sqref="B434"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2" xfDxf="1" sqref="B434"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109" sId="2">
    <nc r="B434" t="inlineStr">
      <is>
        <t>VIDA EM MOVIMENTO</t>
      </is>
    </nc>
  </rcc>
  <rcc rId="3110" sId="1" xfDxf="1" s="1" dxf="1">
    <nc r="D375" t="inlineStr">
      <is>
        <t>35.001.546/0001-41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74" start="0" length="0">
    <dxf>
      <font>
        <sz val="10"/>
        <color rgb="FF263238"/>
        <name val="Arial"/>
        <scheme val="none"/>
      </font>
      <alignment horizontal="left" vertical="center" readingOrder="0"/>
      <border outline="0">
        <left style="thin">
          <color indexed="64"/>
        </left>
        <right style="thin">
          <color indexed="64"/>
        </right>
        <top style="thin">
          <color indexed="64"/>
        </top>
        <bottom style="thin">
          <color indexed="64"/>
        </bottom>
      </border>
    </dxf>
  </rfmt>
  <rcc rId="3111" sId="1">
    <oc r="B374" t="inlineStr">
      <is>
        <t>ESPAÇO YPSOM COMEMORAÇOES</t>
      </is>
    </oc>
    <nc r="B374" t="inlineStr">
      <is>
        <t>ESPACO YPSOLON</t>
      </is>
    </nc>
  </rcc>
  <rrc rId="3112" sId="2" ref="A434:XFD43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13" sId="2">
    <nc r="A434">
      <v>870</v>
    </nc>
  </rcc>
  <rfmt sheetId="2" xfDxf="1" sqref="B434"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114" sId="2">
    <nc r="B434" t="inlineStr">
      <is>
        <t>ESPACO YPSOLON</t>
      </is>
    </nc>
  </rcc>
  <rcc rId="3115" sId="1">
    <nc r="F374" t="inlineStr">
      <is>
        <t>Simples</t>
      </is>
    </nc>
  </rcc>
  <rcc rId="3116" sId="1" xfDxf="1" s="1" dxf="1">
    <nc r="D374" t="inlineStr">
      <is>
        <t>34.998.956/0001-46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A373">
    <dxf>
      <alignment vertical="center" readingOrder="0"/>
    </dxf>
  </rfmt>
  <rcc rId="3117" sId="1">
    <nc r="F373" t="inlineStr">
      <is>
        <t>Simples</t>
      </is>
    </nc>
  </rcc>
  <rcc rId="3118" sId="1">
    <nc r="E373" t="inlineStr">
      <is>
        <t>sind. Saúde / maio</t>
      </is>
    </nc>
  </rcc>
  <rcc rId="3119" sId="1" xfDxf="1" dxf="1">
    <oc r="B373" t="inlineStr">
      <is>
        <t>Prodonto   sind: saúde/ maio</t>
      </is>
    </oc>
    <nc r="B373" t="inlineStr">
      <is>
        <t>PRODONTO</t>
      </is>
    </nc>
    <ndxf>
      <font>
        <sz val="9"/>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cc rId="3120" sId="1" xfDxf="1" s="1" dxf="1">
    <nc r="D373" t="inlineStr">
      <is>
        <t>01.860.897/0001-96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21" sId="1">
    <nc r="F372" t="inlineStr">
      <is>
        <t>Presumido</t>
      </is>
    </nc>
  </rcc>
  <rcc rId="3122" sId="1" xfDxf="1" dxf="1">
    <oc r="B372" t="inlineStr">
      <is>
        <t xml:space="preserve">M.DE S. OLIVEIRA EMPREEND. PRESUMIDO </t>
      </is>
    </oc>
    <nc r="B372" t="inlineStr">
      <is>
        <t>M. DE S. OLIVEIRA</t>
      </is>
    </nc>
    <ndxf>
      <font>
        <sz val="9"/>
        <color rgb="FF263238"/>
        <name val="Arial"/>
        <scheme val="none"/>
      </font>
      <alignment horizontal="left" vertical="center" readingOrder="0"/>
      <border outline="0">
        <left style="thin">
          <color indexed="64"/>
        </left>
        <right style="thin">
          <color indexed="64"/>
        </right>
        <top style="thin">
          <color indexed="64"/>
        </top>
        <bottom style="thin">
          <color indexed="64"/>
        </bottom>
      </border>
    </ndxf>
  </rcc>
  <rrc rId="3123" sId="2" ref="A432:XFD43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24" sId="2">
    <nc r="A432">
      <v>866</v>
    </nc>
  </rcc>
  <rcc rId="3125" sId="2" xfDxf="1" dxf="1">
    <nc r="B432" t="inlineStr">
      <is>
        <t>M. DE S. OLIVEIRA</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26" sId="1" xfDxf="1" s="1" dxf="1">
    <nc r="D372" t="inlineStr">
      <is>
        <t>34.922.495/0001-28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371" start="0" length="0">
    <dxf>
      <font>
        <sz val="8"/>
        <color rgb="FF263238"/>
      </font>
    </dxf>
  </rfmt>
  <rcc rId="3127" sId="1" xfDxf="1" s="1" dxf="1">
    <nc r="D371" t="inlineStr">
      <is>
        <t>15.230.662/0001-25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28" sId="1" xfDxf="1" s="1" dxf="1">
    <nc r="E371" t="inlineStr">
      <is>
        <t>MATERIAL PLASTICO MG /  MARÇO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29" sId="1">
    <nc r="F371" t="inlineStr">
      <is>
        <t>Simples</t>
      </is>
    </nc>
  </rcc>
  <rcc rId="3130" sId="1" xfDxf="1" dxf="1">
    <oc r="B371" t="inlineStr">
      <is>
        <t>SOLPLASTIC                                 15.230.662/0001-25                                   MATERIAL PLASTICO MG /  MARÇO</t>
      </is>
    </oc>
    <nc r="B371" t="inlineStr">
      <is>
        <t>SOLPLASTIC</t>
      </is>
    </nc>
    <ndxf>
      <font>
        <sz val="8"/>
        <color rgb="FF263238"/>
      </font>
      <alignment vertical="top" wrapText="1" readingOrder="0"/>
      <border outline="0">
        <left style="thin">
          <color indexed="64"/>
        </left>
        <right style="thin">
          <color indexed="64"/>
        </right>
        <top style="thin">
          <color indexed="64"/>
        </top>
        <bottom style="thin">
          <color indexed="64"/>
        </bottom>
      </border>
    </ndxf>
  </rcc>
  <rfmt sheetId="1" sqref="B371">
    <dxf>
      <alignment vertical="center" readingOrder="0"/>
    </dxf>
  </rfmt>
  <rcc rId="3131" sId="1">
    <nc r="F370" t="inlineStr">
      <is>
        <t>Presumido</t>
      </is>
    </nc>
  </rcc>
  <rcc rId="3132" sId="1" xfDxf="1" dxf="1">
    <oc r="B370" t="inlineStr">
      <is>
        <t xml:space="preserve">SABIAS LOTEAMENTO PRESUMIDO </t>
      </is>
    </oc>
    <nc r="B370" t="inlineStr">
      <is>
        <t>SABIAS LOTEAMENTO</t>
      </is>
    </nc>
    <ndxf>
      <font>
        <sz val="9"/>
        <color rgb="FF263238"/>
        <name val="Arial"/>
        <scheme val="none"/>
      </font>
      <alignment horizontal="left" vertical="center" readingOrder="0"/>
    </ndxf>
  </rcc>
  <rcc rId="3133" sId="2">
    <nc r="A430">
      <v>864</v>
    </nc>
  </rcc>
  <rfmt sheetId="2" sqref="A430">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rfmt>
  <rcc rId="3134" sId="2" xfDxf="1" dxf="1">
    <nc r="B430" t="inlineStr">
      <is>
        <t>SABIAS LOTEAMENTO</t>
      </is>
    </nc>
  </rcc>
  <rcc rId="3135" sId="1" xfDxf="1" s="1" dxf="1">
    <nc r="D370" t="inlineStr">
      <is>
        <t>08.546.902/0001-30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369" start="0" length="0">
    <dxf>
      <font>
        <sz val="8"/>
        <color rgb="FF263238"/>
      </font>
    </dxf>
  </rfmt>
  <rcc rId="3136" sId="1" xfDxf="1" s="1" dxf="1">
    <nc r="E369" t="inlineStr">
      <is>
        <t>BARES CABO FRIO  / FEVEREIRO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37" sId="1" xfDxf="1" s="1" dxf="1">
    <nc r="D369" t="inlineStr">
      <is>
        <t xml:space="preserve">21.554.522/0002-96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38" sId="1">
    <nc r="F369" t="inlineStr">
      <is>
        <t>Associação</t>
      </is>
    </nc>
  </rcc>
  <rcc rId="3139" sId="1" xfDxf="1" dxf="1">
    <oc r="B369" t="inlineStr">
      <is>
        <t>MINAS PRAIA FILIAL                          21.554.522/0002-96                                         BARES CABO FRIO  / FEVEREIRO</t>
      </is>
    </oc>
    <nc r="B369" t="inlineStr">
      <is>
        <t>MINAS PRAIA FILIAL</t>
      </is>
    </nc>
    <ndxf>
      <font>
        <sz val="8"/>
        <color rgb="FF263238"/>
      </font>
      <alignment vertical="top" wrapText="1" readingOrder="0"/>
      <border outline="0">
        <bottom style="thin">
          <color indexed="64"/>
        </bottom>
      </border>
    </ndxf>
  </rcc>
  <rfmt sheetId="1" sqref="B369">
    <dxf>
      <alignment vertical="center" readingOrder="0"/>
    </dxf>
  </rfmt>
  <rfmt sheetId="1" sqref="B368" start="0" length="0">
    <dxf>
      <font>
        <sz val="8"/>
        <color rgb="FF263238"/>
      </font>
    </dxf>
  </rfmt>
  <rcc rId="3140" sId="1" xfDxf="1" s="1" dxf="1">
    <nc r="E368" t="inlineStr">
      <is>
        <t>SINDIBREF /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41" sId="1" xfDxf="1" s="1" dxf="1">
    <nc r="D368" t="inlineStr">
      <is>
        <t>21.554.522/0001-05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368">
    <dxf>
      <alignment vertical="center" readingOrder="0"/>
    </dxf>
  </rfmt>
  <rcc rId="3142" sId="1">
    <nc r="F368" t="inlineStr">
      <is>
        <t>Associação</t>
      </is>
    </nc>
  </rcc>
  <rcc rId="3143" sId="1" xfDxf="1" dxf="1">
    <oc r="B368" t="inlineStr">
      <is>
        <t>MINAS PRAIA MATRIZ             21.554.522/0001-05                                           SINDIBREF / JANEIRO</t>
      </is>
    </oc>
    <nc r="B368" t="inlineStr">
      <is>
        <t>MINAS PRAIA</t>
      </is>
    </nc>
    <ndxf>
      <font>
        <sz val="8"/>
        <color rgb="FF263238"/>
      </font>
      <alignment vertical="center" wrapText="1" readingOrder="0"/>
      <border outline="0">
        <left style="thin">
          <color indexed="64"/>
        </left>
        <right style="thin">
          <color indexed="64"/>
        </right>
        <top style="thin">
          <color indexed="64"/>
        </top>
        <bottom style="thin">
          <color indexed="64"/>
        </bottom>
      </border>
    </ndxf>
  </rcc>
  <rfmt sheetId="1" sqref="A1:A1048576">
    <dxf>
      <alignment vertical="center" readingOrder="0"/>
    </dxf>
  </rfmt>
  <rcc rId="3144" sId="2" xfDxf="1" dxf="1">
    <oc r="B429" t="inlineStr">
      <is>
        <t>MINAS PRAIA FILIAL</t>
      </is>
    </oc>
    <nc r="B429" t="inlineStr">
      <is>
        <t>MINAS PRAIA</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45" sId="2" xfDxf="1" dxf="1">
    <oc r="B428" t="inlineStr">
      <is>
        <t>MINAS PRAIA MATRIZ</t>
      </is>
    </oc>
    <nc r="B428" t="inlineStr">
      <is>
        <t>MINAS PRAIA FILIAL</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fmt sheetId="1" sqref="B367" start="0" length="0">
    <dxf>
      <font>
        <sz val="8"/>
      </font>
    </dxf>
  </rfmt>
  <rcc rId="3146" sId="1" xfDxf="1" s="1" dxf="1">
    <nc r="E367" t="inlineStr">
      <is>
        <t>METALURGICO JF / 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1:B1048576">
    <dxf>
      <alignment horizontal="center" readingOrder="0"/>
    </dxf>
  </rfmt>
  <rfmt sheetId="1" sqref="B1:B1048576">
    <dxf>
      <alignment vertical="center" readingOrder="0"/>
    </dxf>
  </rfmt>
  <rfmt sheetId="1" sqref="B364" start="0" length="0">
    <dxf>
      <font>
        <sz val="8"/>
        <color rgb="FF263238"/>
      </font>
    </dxf>
  </rfmt>
  <rcc rId="3147" sId="1" xfDxf="1" s="1" dxf="1">
    <nc r="D367" t="inlineStr">
      <is>
        <t>05.411.150/0001-01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48" sId="1">
    <nc r="F367" t="inlineStr">
      <is>
        <t>Simples</t>
      </is>
    </nc>
  </rcc>
  <rfmt sheetId="1" xfDxf="1" sqref="B367" start="0" length="0">
    <dxf>
      <font>
        <sz val="8"/>
      </font>
      <alignment horizontal="center" vertical="center" wrapText="1" readingOrder="0"/>
      <border outline="0">
        <left style="thin">
          <color indexed="64"/>
        </left>
        <right style="thin">
          <color indexed="64"/>
        </right>
        <top style="thin">
          <color indexed="64"/>
        </top>
        <bottom style="thin">
          <color indexed="64"/>
        </bottom>
      </border>
    </dxf>
  </rfmt>
  <rcc rId="3149" sId="1">
    <oc r="B367" t="inlineStr">
      <is>
        <t>CADMIEL AUTOMOTIVO     05.411.150/0001-01                 METALURGICO JF / SETEMBRO</t>
      </is>
    </oc>
    <nc r="B367" t="inlineStr">
      <is>
        <t>CADMIEL</t>
      </is>
    </nc>
  </rcc>
  <rfmt sheetId="2" xfDxf="1" sqref="B427"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150" sId="2">
    <oc r="B427" t="inlineStr">
      <is>
        <t>CADIMIEL</t>
      </is>
    </oc>
    <nc r="B427" t="inlineStr">
      <is>
        <t>CADMIEL</t>
      </is>
    </nc>
  </rcc>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51" sId="1" xfDxf="1" dxf="1">
    <oc r="B366" t="inlineStr">
      <is>
        <t>Montesanto Com de presente</t>
      </is>
    </oc>
    <nc r="B366" t="inlineStr">
      <is>
        <t xml:space="preserve">MONTESANTO COMERCIO </t>
      </is>
    </nc>
    <ndxf>
      <font>
        <sz val="9"/>
        <color rgb="FF263238"/>
        <name val="Arial"/>
        <scheme val="none"/>
      </font>
      <alignment horizontal="center" vertical="center" readingOrder="0"/>
    </ndxf>
  </rcc>
  <rcc rId="3152" sId="2" xfDxf="1" dxf="1">
    <oc r="B426" t="inlineStr">
      <is>
        <t>MONTESANTO</t>
      </is>
    </oc>
    <nc r="B426" t="inlineStr">
      <is>
        <t xml:space="preserve">MONTESANTO COMERCIO </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53" sId="1">
    <nc r="F366" t="inlineStr">
      <is>
        <t>Simples</t>
      </is>
    </nc>
  </rcc>
  <rcc rId="3154" sId="1" xfDxf="1" s="1" dxf="1">
    <nc r="D366" t="inlineStr">
      <is>
        <t>34.764.201/0001-87</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55" sId="1" xfDxf="1" s="1" dxf="1">
    <nc r="D365" t="inlineStr">
      <is>
        <t>008.294.956-57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56" sId="1" xfDxf="1" dxf="1">
    <oc r="B365" t="inlineStr">
      <is>
        <t>JUSCELINO DE SOUZA CARMO</t>
      </is>
    </oc>
    <nc r="B365" t="inlineStr">
      <is>
        <t>JUSCELINO DE SOZA CARMO</t>
      </is>
    </nc>
    <ndxf>
      <font>
        <sz val="8"/>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157" sId="2" ref="A426:XFD42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58" sId="2">
    <nc r="A426">
      <v>859</v>
    </nc>
  </rcc>
  <rcc rId="3159" sId="2" xfDxf="1" dxf="1">
    <nc r="B426" t="inlineStr">
      <is>
        <t>JUSCELINO DE SOZA CARMO</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60" sId="1">
    <nc r="F365" t="inlineStr">
      <is>
        <t>Doméstica</t>
      </is>
    </nc>
  </rcc>
  <rcc rId="3161" sId="1">
    <nc r="F364" t="inlineStr">
      <is>
        <t>Simples</t>
      </is>
    </nc>
  </rcc>
  <rcc rId="3162" sId="1" xfDxf="1" dxf="1">
    <oc r="B364" t="inlineStr">
      <is>
        <t>SMART NX EIREL   13.500.865/0001-69   SINTAPPI/MAIO</t>
      </is>
    </oc>
    <nc r="B364" t="inlineStr">
      <is>
        <t>SMART NX</t>
      </is>
    </nc>
    <ndxf>
      <font>
        <sz val="8"/>
        <color rgb="FF263238"/>
      </font>
      <alignment horizontal="center" vertical="center" wrapText="1" readingOrder="0"/>
      <border outline="0">
        <top style="thin">
          <color indexed="64"/>
        </top>
        <bottom style="thin">
          <color indexed="64"/>
        </bottom>
      </border>
    </ndxf>
  </rcc>
  <rcc rId="3163" sId="1" xfDxf="1" s="1" dxf="1">
    <nc r="D364" t="inlineStr">
      <is>
        <t>13.500.865/0001-69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64" sId="1">
    <nc r="F363" t="inlineStr">
      <is>
        <t>Presumido</t>
      </is>
    </nc>
  </rcc>
  <rcc rId="3165" sId="1" xfDxf="1" dxf="1">
    <oc r="B363" t="inlineStr">
      <is>
        <t xml:space="preserve">SMART NX TEC. EIRELI PRESUMIDO </t>
      </is>
    </oc>
    <nc r="B363" t="inlineStr">
      <is>
        <t xml:space="preserve">SMART NX TECNOLOGIA </t>
      </is>
    </nc>
    <ndxf>
      <font>
        <sz val="10"/>
        <color rgb="FF263238"/>
        <name val="Arial"/>
        <scheme val="none"/>
      </font>
      <alignment horizontal="center" vertical="center" readingOrder="0"/>
      <border outline="0">
        <bottom style="thin">
          <color indexed="64"/>
        </bottom>
      </border>
    </ndxf>
  </rcc>
  <rrc rId="3166" sId="2" ref="A425:XFD42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67" sId="2">
    <nc r="A425">
      <v>857</v>
    </nc>
  </rcc>
  <rcc rId="3168" sId="2" xfDxf="1" dxf="1">
    <nc r="B425" t="inlineStr">
      <is>
        <t xml:space="preserve">SMART NX TECNOLOGIA </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69" sId="1" xfDxf="1" s="1" dxf="1">
    <nc r="D363" t="inlineStr">
      <is>
        <t>27.447.387/0001-85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70" sId="1">
    <nc r="F362" t="inlineStr">
      <is>
        <t>Doméstica</t>
      </is>
    </nc>
  </rcc>
  <rcc rId="3171" sId="1" xfDxf="1" s="1" dxf="1">
    <nc r="D362" t="inlineStr">
      <is>
        <t>052.145.106-08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72" sId="1" xfDxf="1" dxf="1">
    <oc r="B362" t="inlineStr">
      <is>
        <t>Marcia Cristina Almeida santos</t>
      </is>
    </oc>
    <nc r="B362" t="inlineStr">
      <is>
        <t>MARCIA CRISTINA DE ALMEIDA SANTOS</t>
      </is>
    </nc>
    <ndxf>
      <font>
        <sz val="8"/>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173" sId="2" ref="A425:XFD42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74" sId="2">
    <nc r="A425">
      <v>856</v>
    </nc>
  </rcc>
  <rcc rId="3175" sId="2" xfDxf="1" dxf="1">
    <nc r="B425" t="inlineStr">
      <is>
        <t>MARCIA CRISTINA DE ALMEIDA SANTOS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76" sId="1">
    <nc r="F361" t="inlineStr">
      <is>
        <t>Presumido</t>
      </is>
    </nc>
  </rcc>
  <rfmt sheetId="1" sqref="B361" start="0" length="0">
    <dxf>
      <font>
        <sz val="8"/>
        <color rgb="FF263238"/>
      </font>
    </dxf>
  </rfmt>
  <rcc rId="3177" sId="1" xfDxf="1" s="1" dxf="1">
    <nc r="E361" t="inlineStr">
      <is>
        <t>SINDEDIF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78" sId="1" xfDxf="1" s="1" dxf="1">
    <nc r="D361" t="inlineStr">
      <is>
        <t>09.205.603/0001-02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61" start="0" length="0">
    <dxf>
      <font>
        <sz val="8"/>
        <color rgb="FF263238"/>
      </font>
      <alignment horizontal="center" vertical="center" wrapText="1" readingOrder="0"/>
      <border outline="0">
        <left style="thin">
          <color indexed="64"/>
        </left>
        <right style="thin">
          <color indexed="64"/>
        </right>
        <top style="thin">
          <color indexed="64"/>
        </top>
        <bottom style="thin">
          <color indexed="64"/>
        </bottom>
      </border>
    </dxf>
  </rfmt>
  <rcc rId="3179" sId="1">
    <oc r="B361" t="inlineStr">
      <is>
        <t xml:space="preserve">TRIFLAT ADM DE BENS LT                   SINDEDIF   MAIO                            09.205.603./0001-02   </t>
      </is>
    </oc>
    <nc r="B361" t="inlineStr">
      <is>
        <t>TRIFLAT</t>
      </is>
    </nc>
  </rcc>
  <rcc rId="3180" sId="2" xfDxf="1" dxf="1">
    <oc r="B424" t="inlineStr">
      <is>
        <t xml:space="preserve">Triflat </t>
      </is>
    </oc>
    <nc r="B424" t="inlineStr">
      <is>
        <t>TRIFLAT</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81" sId="1" xfDxf="1" s="1" dxf="1">
    <nc r="D360" t="inlineStr">
      <is>
        <t>28.826.155/0001-09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82" sId="1">
    <nc r="F360" t="inlineStr">
      <is>
        <t>MEI</t>
      </is>
    </nc>
  </rcc>
  <rcc rId="3183" sId="1" xfDxf="1" dxf="1">
    <oc r="B360" t="inlineStr">
      <is>
        <t>Marcia Cristina Almeida santos</t>
      </is>
    </oc>
    <nc r="B360" t="inlineStr">
      <is>
        <t xml:space="preserve">MARCIA CRISTINA </t>
      </is>
    </nc>
    <ndxf>
      <font>
        <sz val="10"/>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184" sId="2" ref="A425:XFD42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85" sId="2">
    <nc r="A425">
      <v>853</v>
    </nc>
  </rcc>
  <rcc rId="3186" sId="2" xfDxf="1" dxf="1">
    <nc r="B425" t="inlineStr">
      <is>
        <t xml:space="preserve">MARCIA CRISTINA </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87" sId="1" xfDxf="1" s="1" dxf="1">
    <nc r="D359" t="inlineStr">
      <is>
        <t>051.340.176-89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88" sId="1" xfDxf="1" dxf="1">
    <oc r="B359" t="inlineStr">
      <is>
        <t>Rafael Pimont</t>
      </is>
    </oc>
    <nc r="B359" t="inlineStr">
      <is>
        <t>RAFAEL MARQUES PIMONT</t>
      </is>
    </nc>
    <ndxf>
      <font>
        <sz val="8"/>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3189" sId="1">
    <nc r="F359" t="inlineStr">
      <is>
        <t>Doméstica</t>
      </is>
    </nc>
  </rcc>
  <rrc rId="3190" sId="2" ref="A425:XFD42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91" sId="2">
    <nc r="A425">
      <v>852</v>
    </nc>
  </rcc>
  <rcc rId="3192" sId="2" xfDxf="1" dxf="1">
    <nc r="B425" t="inlineStr">
      <is>
        <t>RAFAEL MARQUES PIMONT</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193" sId="1" xfDxf="1" s="1" dxf="1">
    <nc r="E358" t="inlineStr">
      <is>
        <t>SALÕES DE BELEZA/MARÇO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94" sId="1" xfDxf="1" s="1" dxf="1">
    <nc r="D358" t="inlineStr">
      <is>
        <t>24.334.638/0001-27</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195" sId="1">
    <nc r="F358" t="inlineStr">
      <is>
        <t>Simples</t>
      </is>
    </nc>
  </rcc>
  <rcc rId="3196" sId="1" xfDxf="1" dxf="1">
    <oc r="B358" t="inlineStr">
      <is>
        <t xml:space="preserve">Priscila Fonseca Brinati               SALÕES DE BELEZA/MARÇO  CNPJ:24.334.638/0001-27                        </t>
      </is>
    </oc>
    <nc r="B358" t="inlineStr">
      <is>
        <t>PRISCILA FONSECA BRINATI</t>
      </is>
    </nc>
    <ndxf>
      <font>
        <sz val="9"/>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197" sId="2" ref="A425:XFD42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198" sId="2">
    <nc r="A425">
      <v>851</v>
    </nc>
  </rcc>
  <rcc rId="3199" sId="2" xfDxf="1" dxf="1">
    <nc r="B425" t="inlineStr">
      <is>
        <t>PRISCILA FONSECA BRINATI</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200" sId="1">
    <nc r="F357" t="inlineStr">
      <is>
        <t>Simples</t>
      </is>
    </nc>
  </rcc>
  <rcc rId="3201" sId="1" xfDxf="1" dxf="1">
    <oc r="B357" t="inlineStr">
      <is>
        <t>DISPROMINAS DIST DE PROD PAN LT</t>
      </is>
    </oc>
    <nc r="B357" t="inlineStr">
      <is>
        <t>DISPROMINAS</t>
      </is>
    </nc>
    <ndxf>
      <font>
        <sz val="10"/>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202" sId="2" ref="A425:XFD42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03" sId="2">
    <nc r="A425">
      <v>850</v>
    </nc>
  </rcc>
  <rcc rId="3204" sId="2" xfDxf="1" dxf="1">
    <nc r="B425" t="inlineStr">
      <is>
        <t>DISPROMINAS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205" sId="1" xfDxf="1" s="1" dxf="1">
    <nc r="D357" t="inlineStr">
      <is>
        <t>34.530.654/0001-49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06" sId="1">
    <nc r="F251" t="inlineStr">
      <is>
        <t>Simples</t>
      </is>
    </nc>
  </rcc>
  <rfmt sheetId="1" xfDxf="1" sqref="B251"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207" sId="2" ref="A352:XFD35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08" sId="2">
    <nc r="A352">
      <v>681</v>
    </nc>
  </rcc>
  <rcc rId="3209" sId="2" xfDxf="1" dxf="1">
    <nc r="B352" t="inlineStr">
      <is>
        <t>FELIPE WIGAND BRAMMER</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10" sId="1" xfDxf="1" s="1" dxf="1">
    <nc r="D251" t="inlineStr">
      <is>
        <t>30.388.629/0001-11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3211" sId="2" ref="A352:XFD352"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352:XFD352" start="0" length="0"/>
    <rcc rId="0" sId="2" dxf="1">
      <nc r="A352">
        <v>681</v>
      </nc>
      <n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cc rId="0" sId="2" dxf="1">
      <nc r="B352" t="inlineStr">
        <is>
          <t>FELIPE WIGAND BRAMMER</t>
        </is>
      </nc>
      <n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ndxf>
    </rcc>
    <rfmt sheetId="2" sqref="C352"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rc>
  <rrc rId="3212" sId="2" ref="A382:XFD38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13" sId="2">
    <nc r="A382">
      <v>681</v>
    </nc>
  </rcc>
  <rcc rId="3214" sId="2" xfDxf="1" dxf="1">
    <nc r="B382" t="inlineStr">
      <is>
        <t>FELIPE WIGAND BRAMMER</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rc rId="3215" sId="2" ref="A407:XFD40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m rId="3216" sheetId="2" source="A409:XFD409" destination="A407:XFD407" sourceSheetId="2">
    <rfmt sheetId="2" xfDxf="1" sqref="A407:XFD407" start="0" length="0"/>
    <rfmt sheetId="2" sqref="A407"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407"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fmt sheetId="2" sqref="C407"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m>
  <rm rId="3217" sheetId="2" source="A408:XFD408" destination="A409:XFD409" sourceSheetId="2">
    <rfmt sheetId="2" xfDxf="1" sqref="A409:XFD409" start="0" length="0"/>
  </rm>
  <rm rId="3218" sheetId="2" source="A407:XFD407" destination="A408:XFD408" sourceSheetId="2">
    <rfmt sheetId="2" xfDxf="1" sqref="A408:XFD408" start="0" length="0"/>
  </rm>
  <rm rId="3219" sheetId="2" source="A352:XFD352" destination="A407:XFD407" sourceSheetId="2">
    <rfmt sheetId="2" xfDxf="1" sqref="A407:XFD407" start="0" length="0"/>
  </rm>
  <rcc rId="3220" sId="1">
    <nc r="F252" t="inlineStr">
      <is>
        <t>Simples</t>
      </is>
    </nc>
  </rcc>
  <rfmt sheetId="1" xfDxf="1" sqref="B252"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221" sId="2" ref="A383:XFD38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22" sId="2">
    <nc r="A383">
      <v>682</v>
    </nc>
  </rcc>
  <rcc rId="3223" sId="2" xfDxf="1" dxf="1">
    <nc r="B383" t="inlineStr">
      <is>
        <t>FABIO NOVAIS TEOFILO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24" sId="1" xfDxf="1" s="1" dxf="1">
    <nc r="D252" t="inlineStr">
      <is>
        <t>30.391.521/0001-88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25" sId="1">
    <nc r="F253" t="inlineStr">
      <is>
        <t>Simples</t>
      </is>
    </nc>
  </rcc>
  <rcc rId="3226" sId="1" xfDxf="1" dxf="1">
    <oc r="B253" t="inlineStr">
      <is>
        <t>TRIPLICE REPRESENTAÇÃO COMERCIAL LTDA</t>
      </is>
    </oc>
    <nc r="B253" t="inlineStr">
      <is>
        <t>TRIPLICE</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227" sId="2" ref="A384:XFD38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28" sId="2">
    <nc r="A384">
      <v>683</v>
    </nc>
  </rcc>
  <rcc rId="3229" sId="2" xfDxf="1" dxf="1">
    <nc r="B384" t="inlineStr">
      <is>
        <t>TRIPLICE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30" sId="1" xfDxf="1" s="1" dxf="1">
    <nc r="D253" t="inlineStr">
      <is>
        <t>30.473.208/0001-99</t>
      </is>
    </nc>
    <ndxf>
      <font>
        <b val="0"/>
        <i val="0"/>
        <strike val="0"/>
        <condense val="0"/>
        <extend val="0"/>
        <outline val="0"/>
        <shadow val="0"/>
        <u/>
        <vertAlign val="baseline"/>
        <sz val="10"/>
        <color theme="10"/>
        <name val="Arial"/>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31" sId="1" xfDxf="1" s="1" dxf="1">
    <nc r="E254" t="inlineStr">
      <is>
        <t>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32" sId="1">
    <nc r="F254" t="inlineStr">
      <is>
        <t>Presumido</t>
      </is>
    </nc>
  </rcc>
  <rcc rId="3233" sId="1" xfDxf="1" s="1" dxf="1">
    <nc r="D254" t="inlineStr">
      <is>
        <t>30.500.164/0001-49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34" sId="1" xfDxf="1" dxf="1">
    <oc r="B254" t="inlineStr">
      <is>
        <t>A. M. CABRAL- ARTEM                     30.500.164/0001-49              SINTEAC                                     Data Base: JANEIRO   PRESUMIDO  COD. 150</t>
      </is>
    </oc>
    <nc r="B254" t="inlineStr">
      <is>
        <t>ARTEM MARTINS CABRAL</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235" sId="2" xfDxf="1" dxf="1">
    <oc r="B385" t="inlineStr">
      <is>
        <t>A.M.CABRAL  ARTEM</t>
      </is>
    </oc>
    <nc r="B385" t="inlineStr">
      <is>
        <t>ARTEM MARTINS CABRAL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36" sId="1" xfDxf="1" s="1" dxf="1">
    <nc r="D255" t="inlineStr">
      <is>
        <t>30.576.208/0001-14</t>
      </is>
    </nc>
    <ndxf>
      <font>
        <b val="0"/>
        <i val="0"/>
        <strike val="0"/>
        <condense val="0"/>
        <extend val="0"/>
        <outline val="0"/>
        <shadow val="0"/>
        <u/>
        <vertAlign val="baseline"/>
        <sz val="9"/>
        <color theme="10"/>
        <name val="Arial"/>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37" sId="1">
    <nc r="F255" t="inlineStr">
      <is>
        <t>SIMEI</t>
      </is>
    </nc>
  </rcc>
  <rcc rId="3238" sId="1" xfDxf="1" dxf="1">
    <oc r="B255" t="inlineStr">
      <is>
        <t>ANGELA THAIIA NASCIMENTO SILVA 0590137360</t>
      </is>
    </oc>
    <nc r="B255" t="inlineStr">
      <is>
        <t xml:space="preserve">ANGELA MARIA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239" sId="2" ref="A386:XFD38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40" sId="2">
    <nc r="A386">
      <v>685</v>
    </nc>
  </rcc>
  <rcc rId="3241" sId="2" xfDxf="1" dxf="1">
    <nc r="B386" t="inlineStr">
      <is>
        <t xml:space="preserve">ANGELA MARIA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42" sId="1">
    <nc r="F256" t="inlineStr">
      <is>
        <t>Simples</t>
      </is>
    </nc>
  </rcc>
  <rcc rId="3243" sId="1" xfDxf="1" dxf="1">
    <oc r="B256" t="inlineStr">
      <is>
        <t>AMCT-CORRETORA DE SEGUROS LTDA</t>
      </is>
    </oc>
    <nc r="B256" t="inlineStr">
      <is>
        <t xml:space="preserve">AMCT CORRETORA </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244" sId="2" xfDxf="1" dxf="1">
    <oc r="B387" t="inlineStr">
      <is>
        <t>AMC-corretora</t>
      </is>
    </oc>
    <nc r="B387" t="inlineStr">
      <is>
        <t xml:space="preserve">AMCT CORRETORA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45" sId="1" xfDxf="1" s="1" dxf="1">
    <nc r="D256" t="inlineStr">
      <is>
        <t>03.950.221/0001-19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46" sId="1" xfDxf="1" s="1" dxf="1">
    <nc r="E257" t="inlineStr">
      <is>
        <t>METALURGICO SETEMBRO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D257"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247" sId="1">
    <nc r="D257" t="inlineStr">
      <is>
        <t>10.805.605/0001-03</t>
      </is>
    </nc>
  </rcc>
  <rcc rId="3248" sId="1">
    <nc r="F257" t="inlineStr">
      <is>
        <t>Simples</t>
      </is>
    </nc>
  </rcc>
  <rcc rId="3249" sId="1" xfDxf="1" dxf="1">
    <oc r="B257" t="inlineStr">
      <is>
        <t>ASTATO EQUIPAMENTOS MEDICOS  METALURGICO         SETEMBRO     10.805.605/0001-03</t>
      </is>
    </oc>
    <nc r="B257" t="inlineStr">
      <is>
        <t>ASTATO EQUIPAMENTOS</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250" sId="1">
    <nc r="F258" t="inlineStr">
      <is>
        <t>Presumido</t>
      </is>
    </nc>
  </rcc>
  <rfmt sheetId="1" xfDxf="1" sqref="B258"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251" sId="1">
    <oc r="B258" t="inlineStr">
      <is>
        <t xml:space="preserve">ASTATO REPRESENTACOES LTDA PRESUMIDO </t>
      </is>
    </oc>
    <nc r="B258" t="inlineStr">
      <is>
        <t>ASTATO REPRESENTACOES</t>
      </is>
    </nc>
  </rcc>
  <rcc rId="3252" sId="2">
    <nc r="A389">
      <v>689</v>
    </nc>
  </rcc>
  <rfmt sheetId="2" xfDxf="1" sqref="B389"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3253" sId="2">
    <nc r="B389" t="inlineStr">
      <is>
        <t>ASTATO REPRESENTACOES</t>
      </is>
    </nc>
  </rcc>
  <rfmt sheetId="1" xfDxf="1" s="1" sqref="D258" start="0" length="0">
    <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254" sId="1" xfDxf="1" s="1" dxf="1">
    <nc r="D258" t="inlineStr">
      <is>
        <t>01.335.998/0001-48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55" sId="1">
    <nc r="F259" t="inlineStr">
      <is>
        <t>Simples</t>
      </is>
    </nc>
  </rcc>
  <rcc rId="3256" sId="1" xfDxf="1" dxf="1">
    <oc r="B259" t="inlineStr">
      <is>
        <t>HM CENTRO DE REPARACAO AUTOMOVIVA LTDA</t>
      </is>
    </oc>
    <nc r="B259" t="inlineStr">
      <is>
        <t xml:space="preserve">HM CENTRO </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257" sId="2" ref="A390:XFD39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58" sId="2">
    <nc r="A390">
      <v>691</v>
    </nc>
  </rcc>
  <rcc rId="3259" sId="2" xfDxf="1" dxf="1">
    <nc r="B390" t="inlineStr">
      <is>
        <t xml:space="preserve">HM CENTRO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60" sId="1" xfDxf="1" s="1" dxf="1">
    <nc r="D259" t="inlineStr">
      <is>
        <t>30.471.495/0001-06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61" sId="1" xfDxf="1" s="1" dxf="1">
    <nc r="E260" t="inlineStr">
      <is>
        <t>sind: ind.de joalheria  data base:março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62" sId="1" xfDxf="1" s="1" dxf="1">
    <nc r="D260" t="inlineStr">
      <is>
        <t>18.142.015/0001-50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63" sId="1">
    <nc r="F260" t="inlineStr">
      <is>
        <t>Simples</t>
      </is>
    </nc>
  </rcc>
  <rcc rId="3264" sId="1" xfDxf="1" dxf="1">
    <oc r="B260" t="inlineStr">
      <is>
        <t>INDIAS DO BRASIL INDUSTRIA E COMERCIO LTDA sind: ind.de joalheria  data base:março   CNPJ:18.142.015/0001-50</t>
      </is>
    </oc>
    <nc r="B260" t="inlineStr">
      <is>
        <t>INDIAS DO BRASIL MT</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265" sId="2" xfDxf="1" dxf="1">
    <oc r="B391" t="inlineStr">
      <is>
        <t>Indias do Brasil Matriz</t>
      </is>
    </oc>
    <nc r="B391" t="inlineStr">
      <is>
        <t>INDIAS DO BRASIL MT</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66" sId="1">
    <nc r="F261" t="inlineStr">
      <is>
        <t>Simples</t>
      </is>
    </nc>
  </rcc>
  <rcc rId="3267" sId="1" xfDxf="1" dxf="1">
    <oc r="B261" t="inlineStr">
      <is>
        <t>INDIAS DO BRASIL INDUSTRIA E COMERCIO LTDA</t>
      </is>
    </oc>
    <nc r="B261" t="inlineStr">
      <is>
        <t>INDIAS DO BRASIL FIL</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268" sId="2" ref="A392:XFD39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69" sId="2">
    <nc r="A392">
      <v>693</v>
    </nc>
  </rcc>
  <rcc rId="3270" sId="2" xfDxf="1" dxf="1">
    <nc r="B392" t="inlineStr">
      <is>
        <t>INDIAS DO BRASIL FIL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71" sId="1" xfDxf="1" s="1" dxf="1">
    <nc r="D261" t="inlineStr">
      <is>
        <t>18.142.015/0002-30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72" sId="1">
    <nc r="F262" t="inlineStr">
      <is>
        <t>Simples</t>
      </is>
    </nc>
  </rcc>
  <rcc rId="3273" sId="1" xfDxf="1" dxf="1">
    <oc r="B262" t="inlineStr">
      <is>
        <t>ARQUITETURA DE INTERIORES NA PRATICA LTDA</t>
      </is>
    </oc>
    <nc r="B262" t="inlineStr">
      <is>
        <t>INTERIORES</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274" sId="2" ref="A393:XFD39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75" sId="2">
    <nc r="A393">
      <v>695</v>
    </nc>
  </rcc>
  <rcc rId="3276" sId="2" xfDxf="1" dxf="1">
    <nc r="B393" t="inlineStr">
      <is>
        <t>INTERIORES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77" sId="1" xfDxf="1" s="1" dxf="1">
    <nc r="D262" t="inlineStr">
      <is>
        <t>30.767.432/0001-93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78" sId="1" xfDxf="1" s="1" dxf="1">
    <nc r="E263" t="inlineStr">
      <is>
        <t>SALAO DE BELEZA Data Base: MARÇO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79" sId="1" xfDxf="1" s="1" dxf="1">
    <nc r="D263" t="inlineStr">
      <is>
        <t>30.791.687/0001-91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80" sId="1">
    <nc r="F263" t="inlineStr">
      <is>
        <t>Simples</t>
      </is>
    </nc>
  </rcc>
  <rcc rId="3281" sId="1" xfDxf="1" dxf="1">
    <oc r="B263" t="inlineStr">
      <is>
        <t xml:space="preserve">AMANDA ALVES                              30.791.687/0001-91               SALAO DE BELEZA             Data Base: MARÇO </t>
      </is>
    </oc>
    <nc r="B263" t="inlineStr">
      <is>
        <t>AMANDA ALVES FIGUEIREDO</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282" sId="2" xfDxf="1" dxf="1">
    <oc r="B394" t="inlineStr">
      <is>
        <t>AMANDA</t>
      </is>
    </oc>
    <nc r="B394" t="inlineStr">
      <is>
        <t>AMANDA ALVES FIGUEIREDO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83" sId="1">
    <nc r="F264" t="inlineStr">
      <is>
        <t>Simples</t>
      </is>
    </nc>
  </rcc>
  <rcc rId="3284" sId="1" xfDxf="1" dxf="1">
    <oc r="B264" t="inlineStr">
      <is>
        <t>BOM BRASIL COMERCIO DE ALIMENTOS LTDA</t>
      </is>
    </oc>
    <nc r="B264" t="inlineStr">
      <is>
        <t>BOM BRASIL</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285" sId="2" ref="A395:XFD39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286" sId="2">
    <nc r="A395">
      <v>699</v>
    </nc>
  </rcc>
  <rcc rId="3287" sId="2" xfDxf="1" dxf="1">
    <nc r="B395" t="inlineStr">
      <is>
        <t>BOM BRASIL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288" sId="1" xfDxf="1" s="1" dxf="1">
    <nc r="D264" t="inlineStr">
      <is>
        <t>30.796.514/0001-66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v guid="{EA2840B9-4395-4F38-9C2E-B3C8A78F8E87}" action="delete"/>
  <rdn rId="0" localSheetId="2" customView="1" name="Z_EA2840B9_4395_4F38_9C2E_B3C8A78F8E87_.wvu.FilterData" hidden="1" oldHidden="1">
    <formula>Particularidade!$A$1:$D$243</formula>
    <oldFormula>Particularidade!$A$1:$D$243</oldFormula>
  </rdn>
  <rdn rId="0" localSheetId="1" customView="1" name="Z_EA2840B9_4395_4F38_9C2E_B3C8A78F8E87_.wvu.FilterData" hidden="1" oldHidden="1">
    <formula>'Controle Empresas'!$A$1:$M$419</formula>
    <oldFormula>'Controle Empresas'!$A$1:$M$419</oldFormula>
  </rdn>
  <rcv guid="{EA2840B9-4395-4F38-9C2E-B3C8A78F8E87}"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1" sId="1">
    <oc r="I339">
      <v>2</v>
    </oc>
    <nc r="I339">
      <v>1</v>
    </nc>
  </rcc>
  <rcv guid="{44627F90-111A-4938-A3EC-3F862F83F7D7}" action="delete"/>
  <rdn rId="0" localSheetId="2" customView="1" name="Z_44627F90_111A_4938_A3EC_3F862F83F7D7_.wvu.FilterData" hidden="1" oldHidden="1">
    <formula>Particularidade!$A$1:$D$243</formula>
  </rdn>
  <rdn rId="0" localSheetId="1" customView="1" name="Z_44627F90_111A_4938_A3EC_3F862F83F7D7_.wvu.PrintArea" hidden="1" oldHidden="1">
    <formula>'Controle Empresas'!$A$235:$L$420</formula>
    <oldFormula>'Controle Empresas'!$A$235:$L$420</oldFormula>
  </rdn>
  <rdn rId="0" localSheetId="1" customView="1" name="Z_44627F90_111A_4938_A3EC_3F862F83F7D7_.wvu.FilterData" hidden="1" oldHidden="1">
    <formula>'Controle Empresas'!$A$1:$M$419</formula>
    <oldFormula>'Controle Empresas'!$A$1:$M$419</oldFormula>
  </rdn>
  <rcv guid="{44627F90-111A-4938-A3EC-3F862F83F7D7}"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5" sId="1">
    <oc r="L345" t="inlineStr">
      <is>
        <r>
          <t xml:space="preserve">Recibo mPgto (   )  (  ) Boleto vt
INSS (   )
GFIP (   )                  </t>
        </r>
        <r>
          <rPr>
            <b/>
            <sz val="9"/>
            <color rgb="FFFF0000"/>
            <rFont val="Arial"/>
            <family val="2"/>
          </rPr>
          <t xml:space="preserve"> INICIO COMPETENCIA 07</t>
        </r>
      </is>
    </oc>
    <nc r="L345" t="inlineStr">
      <is>
        <t>Recibo mPgto (   )  (  ) Boleto vt
INSS (   )
GFIP (   )           Tem comissão</t>
      </is>
    </nc>
  </rcc>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6" sId="1">
    <oc r="L314" t="inlineStr">
      <is>
        <t>Pro labore (   )
INSS (   )
GFIP (   )     IR (   )</t>
      </is>
    </oc>
    <nc r="L314" t="inlineStr">
      <is>
        <t>Pro labore (   )
INSS (   )  Perguntar valor do prolabore 
GFIP (   )     IR (   )</t>
      </is>
    </nc>
  </rcc>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1" sqref="E265"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297" sId="1">
    <nc r="E265" t="inlineStr">
      <is>
        <t>SINDICATO DA PANIFICAÇÃO  Data base: MAIO</t>
      </is>
    </nc>
  </rcc>
  <rcc rId="3298" sId="1" xfDxf="1" s="1" dxf="1">
    <nc r="D265" t="inlineStr">
      <is>
        <t>31.067.650/0001.88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299" sId="1">
    <nc r="F265" t="inlineStr">
      <is>
        <t>Simples</t>
      </is>
    </nc>
  </rcc>
  <rfmt sheetId="1" xfDxf="1" sqref="B265"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300" sId="1">
    <oc r="B265" t="inlineStr">
      <is>
        <t>MAISON GATEAU CONFEITARIA LTDA      SINDICATO DA PANIFICAÇÃO -                  Simples 31.067.650/0001.88            Data base: MAIO</t>
      </is>
    </oc>
    <nc r="B265" t="inlineStr">
      <is>
        <t>MAISON GATEAU</t>
      </is>
    </nc>
  </rcc>
  <rfmt sheetId="2" xfDxf="1" sqref="B396"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3301" sId="2">
    <oc r="B396" t="inlineStr">
      <is>
        <t xml:space="preserve">MAISON GATEAU </t>
      </is>
    </oc>
    <nc r="B396" t="inlineStr">
      <is>
        <t>MAISON GATEAU</t>
      </is>
    </nc>
  </rcc>
  <rcc rId="3302" sId="1" xfDxf="1" dxf="1">
    <oc r="B266" t="inlineStr">
      <is>
        <t xml:space="preserve">CAROLINNE M. ZAGHETTO ALMEIDA      </t>
      </is>
    </oc>
    <nc r="B266" t="inlineStr">
      <is>
        <t>CAROLINE ZAGHETTO</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03" sId="1">
    <nc r="F266" t="inlineStr">
      <is>
        <t>Simples</t>
      </is>
    </nc>
  </rcc>
  <rcc rId="3304" sId="2" xfDxf="1" dxf="1">
    <oc r="B397" t="inlineStr">
      <is>
        <t>Caroline Zagheto</t>
      </is>
    </oc>
    <nc r="B397" t="inlineStr">
      <is>
        <t>CAROLINE ZAGHETTO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305" sId="1" xfDxf="1" s="1" dxf="1">
    <nc r="D266" t="inlineStr">
      <is>
        <t>22.458.065/0001-18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06" sId="1">
    <nc r="F267" t="inlineStr">
      <is>
        <t>Presumido</t>
      </is>
    </nc>
  </rcc>
  <rcc rId="3307" sId="1" xfDxf="1" dxf="1">
    <oc r="B267" t="inlineStr">
      <is>
        <t>LOPES E RAMOS ADMINISTRADORA DE IMOVEIS LTDA</t>
      </is>
    </oc>
    <nc r="B267" t="inlineStr">
      <is>
        <t>LOPES E RAMOS</t>
      </is>
    </nc>
    <ndxf>
      <font>
        <sz val="8"/>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308" sId="2" ref="A398:XFD398"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09" sId="2">
    <nc r="A398">
      <v>703</v>
    </nc>
  </rcc>
  <rcc rId="3310" sId="2" xfDxf="1" dxf="1">
    <nc r="B398" t="inlineStr">
      <is>
        <t>LOPES E RAMOS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311" sId="1" xfDxf="1" s="1" dxf="1">
    <nc r="D267" t="inlineStr">
      <is>
        <t>30.995.702/0001-13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12" sId="1" xfDxf="1" s="1" dxf="1">
    <nc r="D268" t="inlineStr">
      <is>
        <t>012.266.796-41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13" sId="1">
    <nc r="F268" t="inlineStr">
      <is>
        <t>Doméstica</t>
      </is>
    </nc>
  </rcc>
  <rcc rId="3314" sId="1" xfDxf="1" dxf="1">
    <oc r="B268" t="inlineStr">
      <is>
        <t>ROBERTA</t>
      </is>
    </oc>
    <nc r="B268" t="inlineStr">
      <is>
        <t>ROBERTA FRANCO DIAS</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315" sId="2" ref="A399:XFD39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16" sId="2">
    <nc r="A399">
      <v>704</v>
    </nc>
  </rcc>
  <rcc rId="3317" sId="2" xfDxf="1" dxf="1">
    <nc r="B399" t="inlineStr">
      <is>
        <t>ROBERTA FRANCO DIAS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318" sId="1">
    <nc r="F269" t="inlineStr">
      <is>
        <t>Simples</t>
      </is>
    </nc>
  </rcc>
  <rfmt sheetId="1" xfDxf="1" sqref="B269"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319" sId="2" ref="A400:XFD40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20" sId="2">
    <nc r="A400">
      <v>705</v>
    </nc>
  </rcc>
  <rcc rId="3321" sId="2" xfDxf="1" dxf="1">
    <nc r="B400" t="inlineStr">
      <is>
        <t>R. R. ALBUQUERQUE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322" sId="1" xfDxf="1" s="1" dxf="1">
    <nc r="D269" t="inlineStr">
      <is>
        <t>31.076.541/0001-27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rc rId="3323" sId="2" ref="A403:XFD40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m rId="3324" sheetId="2" source="A401:XFD401" destination="A403:XFD403" sourceSheetId="2">
    <rfmt sheetId="2" xfDxf="1" sqref="A403:XFD403" start="0" length="0"/>
    <rfmt sheetId="2" sqref="A403"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403"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fmt sheetId="2" sqref="C403"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m>
  <rrc rId="3325" sId="2" ref="A402:XFD40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26" sId="1" xfDxf="1" dxf="1">
    <oc r="B270" t="inlineStr">
      <is>
        <t>J. E DE ARRUDA</t>
      </is>
    </oc>
    <nc r="B270" t="inlineStr">
      <is>
        <t>JESSIQUELLI ESTER</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27" sId="1">
    <nc r="F270" t="inlineStr">
      <is>
        <t>Simples</t>
      </is>
    </nc>
  </rcc>
  <rrc rId="3328" sId="2" ref="A401:XFD40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29" sId="2">
    <nc r="A401">
      <v>707</v>
    </nc>
  </rcc>
  <rfmt sheetId="2" sqref="A401">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rfmt>
  <rcc rId="3330" sId="2" xfDxf="1" dxf="1">
    <nc r="B401" t="inlineStr">
      <is>
        <t>JESSIQUELLI ESTER</t>
      </is>
    </nc>
  </rcc>
  <rcc rId="3331" sId="1" xfDxf="1" s="1" dxf="1">
    <nc r="D270" t="inlineStr">
      <is>
        <t>29.395.030/0001-38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32" sId="1">
    <nc r="F271" t="inlineStr">
      <is>
        <t>Presumido</t>
      </is>
    </nc>
  </rcc>
  <rcc rId="3333" sId="1" xfDxf="1" dxf="1">
    <oc r="B271" t="inlineStr">
      <is>
        <t xml:space="preserve">CASA DAS CONEXOES LTDA PRESUMIDO </t>
      </is>
    </oc>
    <nc r="B271" t="inlineStr">
      <is>
        <t>CASA DAS CONEXOES</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334" sId="2" ref="A402:XFD40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35" sId="2">
    <nc r="A402">
      <v>709</v>
    </nc>
  </rcc>
  <rfmt sheetId="2" sqref="A402">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rfmt>
  <rcc rId="3336" sId="2" xfDxf="1" dxf="1">
    <nc r="B402" t="inlineStr">
      <is>
        <t>CASA DAS CONEXOES</t>
      </is>
    </nc>
  </rcc>
  <rrc rId="3337" sId="2" ref="A403:XFD403"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403:XFD403" start="0" length="0"/>
  </rrc>
  <rrc rId="3338" sId="2" ref="A403:XFD403"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403:XFD403" start="0" length="0"/>
  </rrc>
  <rcc rId="3339" sId="1" xfDxf="1" s="1" dxf="1">
    <nc r="D271" t="inlineStr">
      <is>
        <t>21.605.068/0001-74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40" sId="1" xfDxf="1" s="1" dxf="1">
    <nc r="E272" t="inlineStr">
      <is>
        <t>sind: saude 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41" sId="1">
    <nc r="F272" t="inlineStr">
      <is>
        <t>Simples</t>
      </is>
    </nc>
  </rcc>
  <rcc rId="3342" sId="1" xfDxf="1" dxf="1">
    <oc r="B272" t="inlineStr">
      <is>
        <t>STA-FISIOTERAPIA LTDA sind: saude data base: maio   CNPJ: 09.148.788/0001-52</t>
      </is>
    </oc>
    <nc r="B272" t="inlineStr">
      <is>
        <t>STA FISIOTERAPIA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43" sId="1" xfDxf="1" s="1" dxf="1">
    <nc r="D272" t="inlineStr">
      <is>
        <t>09.148.788/0001-52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44" sId="1" xfDxf="1" s="1" dxf="1">
    <nc r="E273" t="inlineStr">
      <is>
        <t>SIND: SAÚDE  DATABASE: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45" sId="1" xfDxf="1" s="1" dxf="1">
    <nc r="D273" t="inlineStr">
      <is>
        <t>15.501.161/0001-36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46" sId="1">
    <nc r="F273" t="inlineStr">
      <is>
        <t>Simples</t>
      </is>
    </nc>
  </rcc>
  <rcc rId="3347" sId="1" xfDxf="1" dxf="1">
    <oc r="B273" t="inlineStr">
      <is>
        <t>STA ALONGAMENTO CORPORAL E EVENTO LTDA  SIND: SAÚDE  DATABASE: MAIO    CNPJ: 15.501.161/0001-36</t>
      </is>
    </oc>
    <nc r="B273" t="inlineStr">
      <is>
        <t>STA ALONGAMENTO</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48" sId="1" xfDxf="1" s="1" dxf="1">
    <nc r="E274"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49" sId="1" xfDxf="1" s="1" dxf="1">
    <nc r="D274" t="inlineStr">
      <is>
        <t xml:space="preserve">10.285.593/0001-33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50" sId="1" xfDxf="1" dxf="1">
    <oc r="B274" t="inlineStr">
      <is>
        <t>SANTA MARIA MATERIAIS DE CONSTRUÇÃO LTDA                               10.285.593/0001-33                 Data base: Outubro</t>
      </is>
    </oc>
    <nc r="B274" t="inlineStr">
      <is>
        <t>SANTA MARIA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51" sId="1">
    <nc r="F274" t="inlineStr">
      <is>
        <t>Simples</t>
      </is>
    </nc>
  </rcc>
  <rcc rId="3352" sId="2" xfDxf="1" dxf="1">
    <oc r="B405" t="inlineStr">
      <is>
        <t xml:space="preserve">Santa Maria Material de Construção </t>
      </is>
    </oc>
    <nc r="B405" t="inlineStr">
      <is>
        <t>SANTA MARIA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353" sId="1" xfDxf="1" s="1" dxf="1">
    <nc r="D275" t="inlineStr">
      <is>
        <t>31.332.361/0001-69</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54" sId="1">
    <nc r="F275" t="inlineStr">
      <is>
        <t>Simples</t>
      </is>
    </nc>
  </rcc>
  <rcc rId="3355" sId="1" xfDxf="1" dxf="1">
    <oc r="B275" t="inlineStr">
      <is>
        <t>FILIPE OLIVEIRA SOCIEDADE INDIVIDUAL DE ADVOCACIA    CNPJ:31.332.361/0001-69</t>
      </is>
    </oc>
    <nc r="B275" t="inlineStr">
      <is>
        <t>FILIPE OLIVEIRA SOCIEDADE INDIVIDUAL DE ADVOCACIA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56" sId="2" xfDxf="1" dxf="1">
    <oc r="B406" t="inlineStr">
      <is>
        <t>FELIPE OLIVEIRA</t>
      </is>
    </oc>
    <nc r="B406" t="inlineStr">
      <is>
        <t>FILIPE OLIVEIRA SOCIEDADE INDIVIDUAL DE ADVOCACIA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2" sqref="B406" start="0" length="2147483647">
    <dxf>
      <font>
        <sz val="9"/>
      </font>
    </dxf>
  </rfmt>
  <rcc rId="3357" sId="1" xfDxf="1" s="1" dxf="1">
    <nc r="E276" t="inlineStr">
      <is>
        <t xml:space="preserve"> COMERCIO JF  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58" sId="1" xfDxf="1" s="1" dxf="1">
    <nc r="D276" t="inlineStr">
      <is>
        <t>21.502.184/0001-68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59" sId="1">
    <nc r="F276" t="inlineStr">
      <is>
        <t>MEI</t>
      </is>
    </nc>
  </rcc>
  <rcc rId="3360" sId="1" xfDxf="1" dxf="1">
    <oc r="B276" t="inlineStr">
      <is>
        <t>NATHALIA MARTINS /                                   21.502.184/0001-68           COMERCIO JF                    Data Base: OUTUBRO</t>
      </is>
    </oc>
    <nc r="B276" t="inlineStr">
      <is>
        <t xml:space="preserve">NATHALIA MARTINS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61" sId="1">
    <nc r="F277" t="inlineStr">
      <is>
        <t>Simples</t>
      </is>
    </nc>
  </rcc>
  <rfmt sheetId="1" xfDxf="1" sqref="B277"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362" sId="1">
    <oc r="B277" t="inlineStr">
      <is>
        <t xml:space="preserve">GMA GESTAO DE SERVICOS LTDA </t>
      </is>
    </oc>
    <nc r="B277" t="inlineStr">
      <is>
        <t>GMA</t>
      </is>
    </nc>
  </rcc>
  <rcc rId="3363" sId="2">
    <oc r="B408" t="inlineStr">
      <is>
        <t xml:space="preserve">GMA </t>
      </is>
    </oc>
    <nc r="B408" t="inlineStr">
      <is>
        <t>GMA</t>
      </is>
    </nc>
  </rcc>
  <rcc rId="3364" sId="1" xfDxf="1" s="1" dxf="1">
    <nc r="D277" t="inlineStr">
      <is>
        <t>11.787.765/0001-78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65" sId="1" xfDxf="1" s="1" dxf="1">
    <nc r="E278" t="inlineStr">
      <is>
        <t xml:space="preserve"> sind: comércio 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66" sId="1" xfDxf="1" s="1" dxf="1">
    <nc r="D278" t="inlineStr">
      <is>
        <t>29.936.178/0001-20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67" sId="1" xfDxf="1" dxf="1">
    <oc r="B278" t="inlineStr">
      <is>
        <t xml:space="preserve">MARCIA E SOARES OTICA LTDA sind: comércio data base: Outubro CNPJ:29.936.178/0001-20 </t>
      </is>
    </oc>
    <nc r="B278" t="inlineStr">
      <is>
        <t>MARCIA E SOARES</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68" sId="1">
    <nc r="F278" t="inlineStr">
      <is>
        <t>Simples</t>
      </is>
    </nc>
  </rcc>
  <rcc rId="3369" sId="2" xfDxf="1" dxf="1">
    <oc r="B409" t="inlineStr">
      <is>
        <t>Marcia e Soares</t>
      </is>
    </oc>
    <nc r="B409" t="inlineStr">
      <is>
        <t>MARCIA E SOARES</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370" sId="1" xfDxf="1" s="1" dxf="1">
    <nc r="E279" t="inlineStr">
      <is>
        <t>SIND: SALÕES DE BELEZA DATA BASE: MARÇO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71" sId="1" xfDxf="1" s="1" dxf="1">
    <nc r="D279" t="inlineStr">
      <is>
        <t>29.930.464/0001-89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E279" start="0" length="2147483647">
    <dxf>
      <font>
        <sz val="9.8000000000000007"/>
      </font>
    </dxf>
  </rfmt>
  <rfmt sheetId="1" sqref="E279" start="0" length="2147483647">
    <dxf>
      <font>
        <sz val="9.5"/>
      </font>
    </dxf>
  </rfmt>
  <rfmt sheetId="1" sqref="E279" start="0" length="2147483647">
    <dxf>
      <font>
        <sz val="9"/>
      </font>
    </dxf>
  </rfmt>
  <rcc rId="3372" sId="1" xfDxf="1" dxf="1">
    <oc r="B279" t="inlineStr">
      <is>
        <t>BELEZA FEMININA DEPILAÇÃO, ESMALTERIA E SOBRANCELHAS EIRELI SIND: SALÕES DE BELEZA DATA BASE: MARÇO  CNPJ:29.930.464/0001-89</t>
      </is>
    </oc>
    <nc r="B279" t="inlineStr">
      <is>
        <t>BELEZA FEMININA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73" sId="1">
    <nc r="F279" t="inlineStr">
      <is>
        <t>Simples</t>
      </is>
    </nc>
  </rcc>
  <rcc rId="3374" sId="1" xfDxf="1" dxf="1">
    <oc r="B280" t="inlineStr">
      <is>
        <t>VENKON CONSULTORIA LTDA</t>
      </is>
    </oc>
    <nc r="B280" t="inlineStr">
      <is>
        <t>VENKON CONSULTORIA</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375" sId="2" ref="A411:XFD41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76" sId="2">
    <nc r="A411">
      <v>762</v>
    </nc>
  </rcc>
  <rcc rId="3377" sId="2" xfDxf="1" dxf="1">
    <nc r="B411" t="inlineStr">
      <is>
        <t>VENKON CONSULTORIA</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378" sId="1">
    <nc r="F280" t="inlineStr">
      <is>
        <t>Simples</t>
      </is>
    </nc>
  </rcc>
  <rcc rId="3379" sId="1" xfDxf="1" s="1" dxf="1">
    <nc r="D280" t="inlineStr">
      <is>
        <t>25.348.146/0001-53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281" start="0" length="0">
    <dxf>
      <font>
        <sz val="8"/>
        <color auto="1"/>
      </font>
    </dxf>
  </rfmt>
  <rcc rId="3380" sId="1" xfDxf="1" s="1" dxf="1">
    <nc r="E281" t="inlineStr">
      <is>
        <t>SICOMERCIO TRES RIOS / NOVEMBRO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81" sId="1" xfDxf="1" s="1" dxf="1">
    <nc r="D281" t="inlineStr">
      <is>
        <t>28.441.423/0002/47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82" sId="1" xfDxf="1" dxf="1">
    <oc r="B281" t="inlineStr">
      <is>
        <t>MSB COMERCIO FILIAL                 SICOMERCIO TRES RIOS / NOVEMBRO                                       28.441.423/0002/47</t>
      </is>
    </oc>
    <nc r="B281" t="inlineStr">
      <is>
        <t>MSB (FILIAL)</t>
      </is>
    </nc>
    <n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83" sId="2" xfDxf="1" dxf="1">
    <oc r="B412" t="inlineStr">
      <is>
        <t>MSB FILIAL</t>
      </is>
    </oc>
    <nc r="B412" t="inlineStr">
      <is>
        <t>MSB (FILIAL)</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384" sId="1">
    <nc r="F281" t="inlineStr">
      <is>
        <t>Simples</t>
      </is>
    </nc>
  </rcc>
  <rcc rId="3385" sId="1" xfDxf="1" s="1" dxf="1">
    <nc r="D282" t="inlineStr">
      <is>
        <t>31.278.429/0001-79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86" sId="1">
    <nc r="F282" t="inlineStr">
      <is>
        <t>MEI</t>
      </is>
    </nc>
  </rcc>
  <rcc rId="3387" sId="1" xfDxf="1" dxf="1">
    <oc r="B282" t="inlineStr">
      <is>
        <t>MONIQUE SIQUEIRA DOS SANTOS 10809521792</t>
      </is>
    </oc>
    <nc r="B282" t="inlineStr">
      <is>
        <t>MONIQUE SIQUEIRA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388" sId="1" xfDxf="1" s="1" dxf="1">
    <nc r="D283" t="inlineStr">
      <is>
        <t>013.799.226-23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89" sId="1">
    <nc r="F283" t="inlineStr">
      <is>
        <t>Doméstica</t>
      </is>
    </nc>
  </rcc>
  <rfmt sheetId="1" xfDxf="1" sqref="B283" start="0" length="0">
    <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390" sId="2" xfDxf="1" dxf="1">
    <oc r="B414" t="inlineStr">
      <is>
        <t xml:space="preserve">Luiz Khoury </t>
      </is>
    </oc>
    <nc r="B414" t="inlineStr">
      <is>
        <t>LUIZ KHOURY JOSE</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391" sId="1">
    <nc r="F284" t="inlineStr">
      <is>
        <t>Simples</t>
      </is>
    </nc>
  </rcc>
  <rfmt sheetId="1" xfDxf="1" sqref="B284" start="0" length="0">
    <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392" sId="1">
    <oc r="B284" t="inlineStr">
      <is>
        <t>MAR DE ESPANHA MAQUINAS LTDA</t>
      </is>
    </oc>
    <nc r="B284" t="inlineStr">
      <is>
        <t>MAR DE ESPANHA MAQUINAS</t>
      </is>
    </nc>
  </rcc>
  <rrc rId="3393" sId="2" ref="A415:XFD41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394" sId="2">
    <nc r="A415">
      <v>766</v>
    </nc>
  </rcc>
  <rcc rId="3395" sId="2" xfDxf="1" dxf="1">
    <nc r="B415" t="inlineStr">
      <is>
        <t>MAR DE ESPANHA MAQUINAS</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396" sId="1" xfDxf="1" s="1" dxf="1">
    <nc r="D284" t="inlineStr">
      <is>
        <t>12.496.750/0001-85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285" start="0" length="0">
    <dxf>
      <font>
        <sz val="8"/>
        <color auto="1"/>
      </font>
    </dxf>
  </rfmt>
  <rcc rId="3397" sId="1" xfDxf="1" s="1" dxf="1">
    <nc r="E285" t="inlineStr">
      <is>
        <t>Data base: abril</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398" sId="1">
    <nc r="F285" t="inlineStr">
      <is>
        <t>Presumido</t>
      </is>
    </nc>
  </rcc>
  <rcc rId="3399" sId="1" xfDxf="1" s="1" dxf="1">
    <nc r="D285" t="inlineStr">
      <is>
        <t>07.801.908/0001-43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00" sId="1" xfDxf="1" dxf="1">
    <oc r="B285" t="inlineStr">
      <is>
        <t>CH. VIDON - ESPECIALISTAS, SERVICOS E EQUIPAMENTOS FERROVIARIOS LTDA                  Presumido 07.801.908/0001-43         Data base: abril</t>
      </is>
    </oc>
    <nc r="B285" t="inlineStr">
      <is>
        <t>CH. VIDON</t>
      </is>
    </nc>
    <n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401" sId="2" xfDxf="1" dxf="1">
    <oc r="B416" t="inlineStr">
      <is>
        <t>CH VIDON</t>
      </is>
    </oc>
    <nc r="B416" t="inlineStr">
      <is>
        <t>CH. VIDON</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402" sId="1" xfDxf="1" dxf="1">
    <oc r="B286" t="inlineStr">
      <is>
        <t>D P A MARIANO</t>
      </is>
    </oc>
    <nc r="B286" t="inlineStr">
      <is>
        <t>D.P.A MARIANO</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403" sId="2" ref="A417:XFD41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04" sId="2">
    <nc r="A417">
      <v>768</v>
    </nc>
  </rcc>
  <rcc rId="3405" sId="2" xfDxf="1" dxf="1">
    <nc r="B417" t="inlineStr">
      <is>
        <t>D.P.A MARIANO</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406" sId="1">
    <nc r="F286" t="inlineStr">
      <is>
        <t>Simples</t>
      </is>
    </nc>
  </rcc>
  <rcc rId="3407" sId="1" xfDxf="1" s="1" dxf="1">
    <nc r="D286" t="inlineStr">
      <is>
        <t>31.843.893/0001-60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08" sId="1" xfDxf="1" s="1" dxf="1">
    <nc r="E287" t="inlineStr">
      <is>
        <t>sind: federação do comércio data base:Janeiro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09" sId="1" xfDxf="1" s="1" dxf="1">
    <nc r="D287" t="inlineStr">
      <is>
        <t>10.931.946/0001-25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10" sId="1">
    <nc r="F287" t="inlineStr">
      <is>
        <t>Simples</t>
      </is>
    </nc>
  </rcc>
  <rcc rId="3411" sId="1" xfDxf="1" dxf="1">
    <oc r="B287" t="inlineStr">
      <is>
        <t>DOUGLAS P MEDEIROS sind: federação do comércio data base:Janeiro    CNPJ: 10.931.946/0001-25</t>
      </is>
    </oc>
    <nc r="B287" t="inlineStr">
      <is>
        <t>QUITANDINHA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412" sId="2" xfDxf="1" dxf="1">
    <oc r="B418" t="inlineStr">
      <is>
        <t>QUINTANDINHA</t>
      </is>
    </oc>
    <nc r="B418" t="inlineStr">
      <is>
        <t>QUITANDINHA</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413" sId="1">
    <nc r="F288" t="inlineStr">
      <is>
        <t>Simples</t>
      </is>
    </nc>
  </rcc>
  <rfmt sheetId="1" xfDxf="1" sqref="B288"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414" sId="2" ref="A419:XFD41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15" sId="2">
    <nc r="A419">
      <v>770</v>
    </nc>
  </rcc>
  <rcc rId="3416" sId="2" xfDxf="1" dxf="1">
    <nc r="B419" t="inlineStr">
      <is>
        <t>VANIA F GAGLIARDI</t>
      </is>
    </nc>
    <ndxf>
      <font>
        <sz val="10"/>
        <color auto="1"/>
      </font>
      <alignment horizontal="center" vertical="center" wrapText="1" readingOrder="0"/>
      <border outline="0">
        <left style="thin">
          <color indexed="64"/>
        </left>
        <right style="thin">
          <color indexed="64"/>
        </right>
        <top style="thin">
          <color indexed="64"/>
        </top>
        <bottom style="thin">
          <color indexed="64"/>
        </bottom>
      </border>
    </ndxf>
  </rcc>
  <rcc rId="3417" sId="1" xfDxf="1" s="1" dxf="1">
    <nc r="D288" t="inlineStr">
      <is>
        <t>19.269.830/0001-47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18" sId="1" xfDxf="1" s="1" dxf="1">
    <nc r="D289" t="inlineStr">
      <is>
        <t>136.755.916-20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19" sId="1" xfDxf="1" dxf="1">
    <oc r="B289" t="inlineStr">
      <is>
        <t>DRA ONEIDA</t>
      </is>
    </oc>
    <nc r="B289" t="inlineStr">
      <is>
        <t>ONEIDA - DOMESTICA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420" sId="1">
    <nc r="F289" t="inlineStr">
      <is>
        <t>Doméstica</t>
      </is>
    </nc>
  </rcc>
  <rcc rId="3421" sId="2" xfDxf="1" dxf="1">
    <oc r="B420" t="inlineStr">
      <is>
        <t>DRA ONEIDA - DOMÉSTICA</t>
      </is>
    </oc>
    <nc r="B420" t="inlineStr">
      <is>
        <t>ONEIDA - DOMESTICA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422" sId="1" xfDxf="1" s="1" dxf="1">
    <nc r="E290" t="inlineStr">
      <is>
        <t xml:space="preserve">Data Base: Sin. Fisioterapeutas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23" sId="1" xfDxf="1" s="1" dxf="1">
    <nc r="D290" t="inlineStr">
      <is>
        <t>29.237.469/0001-20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24" sId="1" xfDxf="1" dxf="1">
    <oc r="B290" t="inlineStr">
      <is>
        <t xml:space="preserve">ESPAÇO COMVIVER              29.237.469/0001-20                  Data Base: Sin. Fisioterapeutas </t>
      </is>
    </oc>
    <nc r="B290" t="inlineStr">
      <is>
        <t>ESPACO COMVIVER</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425" sId="1">
    <nc r="F290" t="inlineStr">
      <is>
        <t>Simples</t>
      </is>
    </nc>
  </rcc>
  <rcc rId="3426" sId="2" xfDxf="1" dxf="1">
    <oc r="B421" t="inlineStr">
      <is>
        <t>ESPAÇO COMVIVER</t>
      </is>
    </oc>
    <nc r="B421" t="inlineStr">
      <is>
        <t>ESPACO COMVIVER</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427" sId="1" xfDxf="1" s="1" dxf="1">
    <nc r="D291" t="inlineStr">
      <is>
        <t>027.807.356-51</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28" sId="1">
    <nc r="F291" t="inlineStr">
      <is>
        <t>Doméstica</t>
      </is>
    </nc>
  </rcc>
  <rfmt sheetId="1" xfDxf="1" sqref="B291" start="0" length="0">
    <dxf>
      <font>
        <sz val="8"/>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dxf>
  </rfmt>
  <rrc rId="3429" sId="2" ref="A422:XFD42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30" sId="2">
    <nc r="A422">
      <v>773</v>
    </nc>
  </rcc>
  <rcc rId="3431" sId="2" xfDxf="1" dxf="1">
    <nc r="B422" t="inlineStr">
      <is>
        <t>ANA LUIZA AFONSO FAGUNDES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v guid="{EA2840B9-4395-4F38-9C2E-B3C8A78F8E87}" action="delete"/>
  <rdn rId="0" localSheetId="2" customView="1" name="Z_EA2840B9_4395_4F38_9C2E_B3C8A78F8E87_.wvu.FilterData" hidden="1" oldHidden="1">
    <formula>Particularidade!$A$1:$D$243</formula>
    <oldFormula>Particularidade!$A$1:$D$243</oldFormula>
  </rdn>
  <rdn rId="0" localSheetId="1" customView="1" name="Z_EA2840B9_4395_4F38_9C2E_B3C8A78F8E87_.wvu.FilterData" hidden="1" oldHidden="1">
    <formula>'Controle Empresas'!$A$1:$M$419</formula>
    <oldFormula>'Controle Empresas'!$A$1:$M$419</oldFormula>
  </rdn>
  <rcv guid="{EA2840B9-4395-4F38-9C2E-B3C8A78F8E87}"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34" sId="1" xfDxf="1" dxf="1">
    <oc r="B292" t="inlineStr">
      <is>
        <t>I.R. COMERCIO DIGITAL DE PRODUTOS LTDA</t>
      </is>
    </oc>
    <nc r="B292" t="inlineStr">
      <is>
        <t>I.R. COMERCIO DIGITAL</t>
      </is>
    </nc>
    <ndxf>
      <font>
        <sz val="9"/>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cc rId="3435" sId="1">
    <nc r="F292" t="inlineStr">
      <is>
        <t>Simples</t>
      </is>
    </nc>
  </rcc>
  <rrc rId="3436" sId="2" ref="A423:XFD423"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37" sId="2">
    <nc r="A423">
      <v>774</v>
    </nc>
  </rcc>
  <rcc rId="3438" sId="2" xfDxf="1" dxf="1">
    <nc r="B423" t="inlineStr">
      <is>
        <t>I.R. COMERCIO DIGITAL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439" sId="1" xfDxf="1" s="1" dxf="1">
    <nc r="D292" t="inlineStr">
      <is>
        <t>32.071.734/0001-58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293" start="0" length="0">
    <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440" sId="1">
    <oc r="B293" t="inlineStr">
      <is>
        <t>VIRTUS REPRESENTACOES LTDA</t>
      </is>
    </oc>
    <nc r="B293" t="inlineStr">
      <is>
        <t>VIRTUS REPRESENTACOES</t>
      </is>
    </nc>
  </rcc>
  <rcc rId="3441" sId="1" xfDxf="1" s="1" dxf="1">
    <nc r="D293" t="inlineStr">
      <is>
        <t>32.171.138/0001-40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42" sId="1">
    <nc r="F293" t="inlineStr">
      <is>
        <t>Simples</t>
      </is>
    </nc>
  </rcc>
  <rrc rId="3443" sId="2" ref="A424:XFD424"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44" sId="2">
    <nc r="A424">
      <v>776</v>
    </nc>
  </rcc>
  <rfmt sheetId="2" xfDxf="1" sqref="B424"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fmt sheetId="2" xfDxf="1" sqref="B424"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cc rId="3445" sId="2">
    <nc r="B424" t="inlineStr">
      <is>
        <t>VIRTUS REPRESENTACOES</t>
      </is>
    </nc>
  </rcc>
  <rcc rId="3446" sId="1" xfDxf="1" s="1" dxf="1">
    <nc r="D294" t="inlineStr">
      <is>
        <t>210.567.906-44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47" sId="1" xfDxf="1" dxf="1">
    <oc r="B294" t="inlineStr">
      <is>
        <t xml:space="preserve">JAIR CROCE FILHO </t>
      </is>
    </oc>
    <nc r="B294" t="inlineStr">
      <is>
        <t>JAIR CROCE FILHO</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448" sId="2" xfDxf="1" dxf="1">
    <oc r="B425" t="inlineStr">
      <is>
        <t>JAIR CROCCE- DOMÉSTICA</t>
      </is>
    </oc>
    <nc r="B425" t="inlineStr">
      <is>
        <t>JAIR CROCE FILHO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449" sId="1">
    <nc r="F294" t="inlineStr">
      <is>
        <t>Doméstica</t>
      </is>
    </nc>
  </rcc>
  <rcc rId="3450" sId="1">
    <nc r="F295" t="inlineStr">
      <is>
        <t>Simples</t>
      </is>
    </nc>
  </rcc>
  <rcc rId="3451" sId="1" xfDxf="1" dxf="1">
    <oc r="B295" t="inlineStr">
      <is>
        <t>FRANCIS EUZEBIO</t>
      </is>
    </oc>
    <nc r="B295" t="inlineStr">
      <is>
        <t>FRANCIS EUZEBIO PEREIRA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452" sId="2" ref="A426:XFD42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53" sId="2">
    <nc r="A426">
      <v>779</v>
    </nc>
  </rcc>
  <rcc rId="3454" sId="2" xfDxf="1" dxf="1">
    <nc r="B426" t="inlineStr">
      <is>
        <t>FRANCIS EUZEBIO PEREIRA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455" sId="1" xfDxf="1" s="1" dxf="1">
    <nc r="D295" t="inlineStr">
      <is>
        <t>32.203.755/0001-80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56" sId="1" xfDxf="1" s="1" dxf="1">
    <nc r="D356" t="inlineStr">
      <is>
        <t>469.099.586-91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57" sId="1">
    <nc r="F356" t="inlineStr">
      <is>
        <t>Doméstica</t>
      </is>
    </nc>
  </rcc>
  <rcc rId="3458" sId="1" xfDxf="1" dxf="1">
    <oc r="B356" t="inlineStr">
      <is>
        <t>Jussara fatima oliveira de Avila (INATIVA)</t>
      </is>
    </oc>
    <nc r="B356" t="inlineStr">
      <is>
        <t xml:space="preserve">JUSSARA FATIMA </t>
      </is>
    </nc>
    <ndxf>
      <font>
        <sz val="9"/>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459"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60" sId="2" xfDxf="1" dxf="1">
    <nc r="B447" t="inlineStr">
      <is>
        <t xml:space="preserve">JUSSARA FATIMA </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461" sId="2">
    <nc r="A447">
      <v>849</v>
    </nc>
  </rcc>
  <rcc rId="3462" sId="1" xfDxf="1" s="1" dxf="1">
    <nc r="D355" t="inlineStr">
      <is>
        <t>002.679.136-64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63" sId="1" xfDxf="1" dxf="1">
    <oc r="B355" t="inlineStr">
      <is>
        <t>MARIA DE LOURDES PEREIRA LIMA</t>
      </is>
    </oc>
    <nc r="B355" t="inlineStr">
      <is>
        <t>MARIA DE LOURDES PEREIRA DE LIMA</t>
      </is>
    </nc>
    <ndxf>
      <font>
        <sz val="9"/>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464"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65" sId="2">
    <nc r="A447">
      <v>848</v>
    </nc>
  </rcc>
  <rcc rId="3466" sId="2" xfDxf="1" dxf="1">
    <nc r="B447" t="inlineStr">
      <is>
        <t>MARIA DE LOURDES PEREIRA DE LIMA</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467" sId="1" xfDxf="1" dxf="1">
    <oc r="B354" t="inlineStr">
      <is>
        <t>GOMES &amp; GOMES ENGENHARIA E CONSULTORIA</t>
      </is>
    </oc>
    <nc r="B354" t="inlineStr">
      <is>
        <t>GOMES E GOMES ENGENHARIA</t>
      </is>
    </nc>
    <ndxf>
      <font>
        <sz val="10"/>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468"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69" sId="2">
    <nc r="A447">
      <v>847</v>
    </nc>
  </rcc>
  <rcc rId="3470" sId="2" xfDxf="1" dxf="1">
    <nc r="B447" t="inlineStr">
      <is>
        <t>GOMES E GOMES ENGENHARIA</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471" sId="1" xfDxf="1" s="1" dxf="1">
    <nc r="D354" t="inlineStr">
      <is>
        <t>34.458.792/0001-64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72" sId="1">
    <nc r="F354" t="inlineStr">
      <is>
        <t>Simples</t>
      </is>
    </nc>
  </rcc>
  <rcc rId="3473" sId="1">
    <nc r="F355" t="inlineStr">
      <is>
        <t>Doméstica</t>
      </is>
    </nc>
  </rcc>
  <rcc rId="3474" sId="1" xfDxf="1" s="1" dxf="1">
    <nc r="E353" t="inlineStr">
      <is>
        <t xml:space="preserve"> Data Base: Maio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75" sId="1" xfDxf="1" s="1" dxf="1">
    <nc r="D353" t="inlineStr">
      <is>
        <t xml:space="preserve">34.370.179/0001-90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76" sId="1" xfDxf="1" dxf="1">
    <oc r="B353" t="inlineStr">
      <is>
        <t xml:space="preserve">ABM Lavanderias ltda               34.370.179/0001-90               Data Base: Maio </t>
      </is>
    </oc>
    <nc r="B353" t="inlineStr">
      <is>
        <t>ABM LAVANDERIAS</t>
      </is>
    </nc>
    <ndxf>
      <font>
        <sz val="9"/>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477"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78" sId="2">
    <nc r="A447">
      <v>845</v>
    </nc>
  </rcc>
  <rfmt sheetId="2" xfDxf="1" sqref="B447"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479" sId="1">
    <nc r="F353" t="inlineStr">
      <is>
        <t>Simples</t>
      </is>
    </nc>
  </rcc>
  <rcc rId="3480" sId="1">
    <nc r="F352" t="inlineStr">
      <is>
        <t>Presumido</t>
      </is>
    </nc>
  </rcc>
  <rcc rId="3481" sId="1" xfDxf="1" dxf="1">
    <oc r="B352" t="inlineStr">
      <is>
        <t xml:space="preserve">MFV REPRESENTAÇÕES LT PRESUMIDO </t>
      </is>
    </oc>
    <nc r="B352" t="inlineStr">
      <is>
        <t>M F V REPRESENTACOES</t>
      </is>
    </nc>
    <ndxf>
      <font>
        <sz val="10"/>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482"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83" sId="2">
    <nc r="B447" t="inlineStr">
      <is>
        <t>M F V REPRESENTACOES</t>
      </is>
    </nc>
  </rcc>
  <rcc rId="3484" sId="2">
    <nc r="A447">
      <v>844</v>
    </nc>
  </rcc>
  <rcc rId="3485" sId="1" xfDxf="1" s="1" dxf="1">
    <nc r="D352" t="inlineStr">
      <is>
        <t>66.198.342/0001-76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86" sId="1">
    <nc r="F351" t="inlineStr">
      <is>
        <t>CEI</t>
      </is>
    </nc>
  </rcc>
  <rcc rId="3487" sId="1" xfDxf="1" dxf="1">
    <oc r="B351" t="inlineStr">
      <is>
        <t xml:space="preserve">ALEXANDRE ABRAHAO CURY E OUTROS CONSTRUÇAO JF                        900011616965                                </t>
      </is>
    </oc>
    <nc r="B351" t="inlineStr">
      <is>
        <t>ALEXANDRE ABRAHAO CURY E OUTROS</t>
      </is>
    </nc>
    <ndxf>
      <font>
        <sz val="8"/>
        <color rgb="FF263238"/>
      </font>
      <alignment horizontal="center" vertical="center" wrapText="1" readingOrder="0"/>
      <border outline="0">
        <left style="thin">
          <color indexed="64"/>
        </left>
        <right style="thin">
          <color indexed="64"/>
        </right>
        <top style="thin">
          <color indexed="64"/>
        </top>
        <bottom style="thin">
          <color indexed="64"/>
        </bottom>
      </border>
    </ndxf>
  </rcc>
  <rrc rId="3488"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fmt sheetId="2" xfDxf="1" sqref="B447" start="0" length="0">
    <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cc rId="3489" sId="1">
    <nc r="D351" t="inlineStr">
      <is>
        <t>CEI 900011616965</t>
      </is>
    </nc>
  </rcc>
  <rrc rId="3490"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491" sId="2">
    <nc r="A447">
      <v>842</v>
    </nc>
  </rcc>
  <rcc rId="3492" sId="2" xfDxf="1" dxf="1">
    <nc r="B447" t="inlineStr">
      <is>
        <t xml:space="preserve">AUTO POSTO BENJAMIN </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493" sId="1" xfDxf="1" dxf="1">
    <oc r="B350" t="inlineStr">
      <is>
        <t>AUTO POSTO BENJAMIN LTDA</t>
      </is>
    </oc>
    <nc r="B350" t="inlineStr">
      <is>
        <t xml:space="preserve">AUTO POSTO BENJAMIN </t>
      </is>
    </nc>
    <ndxf>
      <font>
        <sz val="8"/>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3494" sId="1" xfDxf="1" s="1" dxf="1">
    <nc r="D350" t="inlineStr">
      <is>
        <t>31.098.579/0001-09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95" sId="1">
    <nc r="F350" t="inlineStr">
      <is>
        <t>LUCRO REAL</t>
      </is>
    </nc>
  </rcc>
  <rcc rId="3496" sId="1" xfDxf="1" s="1" dxf="1">
    <nc r="D349" t="inlineStr">
      <is>
        <t>21.177.696/0001-04</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497" sId="1">
    <nc r="F349" t="inlineStr">
      <is>
        <t>Simples</t>
      </is>
    </nc>
  </rcc>
  <rcc rId="3498" sId="1" xfDxf="1" dxf="1">
    <oc r="B349" t="inlineStr">
      <is>
        <t>BRISAMAR</t>
      </is>
    </oc>
    <nc r="B349" t="inlineStr">
      <is>
        <t>BRISAMAR REPRESENTACOES</t>
      </is>
    </nc>
    <ndxf>
      <font>
        <sz val="10"/>
        <color rgb="FF263238"/>
        <name val="Arial"/>
        <scheme val="none"/>
      </font>
      <alignment horizontal="center" vertical="center" wrapText="1" readingOrder="0"/>
    </ndxf>
  </rcc>
  <rrc rId="3499" sId="2" ref="A447:XFD44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00" sId="2">
    <nc r="B447" t="inlineStr">
      <is>
        <t>BRISAMAR REPRESENTACOES</t>
      </is>
    </nc>
  </rcc>
  <rcc rId="3501" sId="2">
    <nc r="A447">
      <v>841</v>
    </nc>
  </rcc>
  <rcc rId="3502" sId="2" xfDxf="1" dxf="1">
    <oc r="B444" t="inlineStr">
      <is>
        <t>ALEXANDRE ABRAHAO CURY</t>
      </is>
    </oc>
    <nc r="B444" t="inlineStr">
      <is>
        <t>ALEXANDRE ABRAHAO CURY E OUTROS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m rId="3503" sheetId="2" source="A444:XFD444" destination="A449:XFD449" sourceSheetId="2">
    <rfmt sheetId="2" xfDxf="1" sqref="A449:XFD449" start="0" length="0"/>
    <rfmt sheetId="2" sqref="A449"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449" start="0" length="0">
      <dxf>
        <font>
          <sz val="10"/>
          <color auto="1"/>
          <name val="Calibri"/>
          <scheme val="minor"/>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2" sqref="C449"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m>
  <rm rId="3504" sheetId="2" source="A447:XFD447" destination="A444:XFD444" sourceSheetId="2">
    <rfmt sheetId="2" xfDxf="1" sqref="A444:XFD444" start="0" length="0"/>
  </rm>
  <rm rId="3505" sheetId="2" source="A445:XFD445" destination="A447:XFD447" sourceSheetId="2">
    <rfmt sheetId="2" xfDxf="1" sqref="A447:XFD447" start="0" length="0"/>
  </rm>
  <rm rId="3506" sheetId="2" source="A448:XFD448" destination="A445:XFD445" sourceSheetId="2">
    <rfmt sheetId="2" xfDxf="1" sqref="A445:XFD445" start="0" length="0"/>
  </rm>
  <rrc rId="3507" sId="2" ref="A459:XFD45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m rId="3508" sheetId="2" source="A446:XFD446" destination="A459:XFD459" sourceSheetId="2">
    <rfmt sheetId="2" xfDxf="1" sqref="A459:XFD459" start="0" length="0"/>
    <rfmt sheetId="2" sqref="A459"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459" start="0" length="0">
      <dxf>
        <font>
          <sz val="10"/>
          <color auto="1"/>
          <name val="Calibri"/>
          <scheme val="minor"/>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2" sqref="C459"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m>
  <rm rId="3509" sheetId="2" source="A449:XFD449" destination="A446:XFD446" sourceSheetId="2">
    <rfmt sheetId="2" xfDxf="1" sqref="A446:XFD446" start="0" length="0"/>
  </rm>
  <rm rId="3510" sheetId="2" source="A447:XFD447" destination="A448:XFD448" sourceSheetId="2">
    <rfmt sheetId="2" xfDxf="1" sqref="A448:XFD448" start="0" length="0"/>
  </rm>
  <rm rId="3511" sheetId="2" source="A450:XFD450" destination="A447:XFD447" sourceSheetId="2">
    <rfmt sheetId="2" xfDxf="1" sqref="A447:XFD447" start="0" length="0"/>
  </rm>
  <rcc rId="3512" sId="2" xfDxf="1" dxf="1">
    <oc r="B448" t="inlineStr">
      <is>
        <t xml:space="preserve">ABM Lavanderia </t>
      </is>
    </oc>
    <nc r="B448" t="inlineStr">
      <is>
        <t>ABM LAVANDERIAS</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Id="3513" sId="2" ref="A449:XFD449"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449:XFD449" start="0" length="0"/>
  </rrc>
  <rrc rId="3514" sId="2" ref="A449:XFD449"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449:XFD449" start="0" length="0"/>
  </rrc>
  <rrc rId="3515" sId="2" ref="A449:XFD449" action="delete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fmt sheetId="2" xfDxf="1" sqref="A449:XFD449" start="0" length="0"/>
    <rcc rId="0" sId="2" dxf="1">
      <nc r="A449">
        <v>845</v>
      </nc>
      <n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ndxf>
    </rcc>
    <rfmt sheetId="2" sqref="B449" start="0" length="0">
      <dxf>
        <font>
          <sz val="10"/>
          <color auto="1"/>
          <name val="Calibri"/>
          <scheme val="minor"/>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dxf>
    </rfmt>
    <rfmt sheetId="2" sqref="C449"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rc>
  <rcc rId="3516" sId="1" xfDxf="1" s="1" dxf="1">
    <nc r="E348" t="inlineStr">
      <is>
        <t>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17" sId="1" xfDxf="1" s="1" dxf="1">
    <nc r="D348" t="inlineStr">
      <is>
        <t>34.184.405/0001-49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18" sId="1">
    <nc r="F348" t="inlineStr">
      <is>
        <t>Simples</t>
      </is>
    </nc>
  </rcc>
  <rcc rId="3519" sId="1" xfDxf="1" dxf="1">
    <oc r="B348" t="inlineStr">
      <is>
        <t>AREA HOME                        34.184.405/0001-49             Data Base: Outubro</t>
      </is>
    </oc>
    <nc r="B348" t="inlineStr">
      <is>
        <t>AREA HOME E DESIGN</t>
      </is>
    </nc>
    <ndxf>
      <font>
        <sz val="10"/>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cc rId="3520" sId="2" xfDxf="1" dxf="1">
    <oc r="B443" t="inlineStr">
      <is>
        <t xml:space="preserve">AREA HOME </t>
      </is>
    </oc>
    <nc r="B443" t="inlineStr">
      <is>
        <t>AREA HOME E DESIGN</t>
      </is>
    </nc>
    <ndxf>
      <font>
        <sz val="10"/>
        <color auto="1"/>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cc rId="3521" sId="1">
    <nc r="F347" t="inlineStr">
      <is>
        <t>Simples</t>
      </is>
    </nc>
  </rcc>
  <rcc rId="3522" sId="1" xfDxf="1" dxf="1">
    <oc r="B347" t="inlineStr">
      <is>
        <t>CRUX ENGENHARIA VERTICAL LTDA</t>
      </is>
    </oc>
    <nc r="B347" t="inlineStr">
      <is>
        <t>CRUX ENGENHARIA</t>
      </is>
    </nc>
    <ndxf>
      <font>
        <sz val="10"/>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523" sId="2" ref="A442:XFD44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24" sId="2">
    <nc r="A442">
      <v>838</v>
    </nc>
  </rcc>
  <rcc rId="3525" sId="2" xfDxf="1" dxf="1">
    <nc r="B442" t="inlineStr">
      <is>
        <t>CRUX ENGENHARIA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26" sId="1" xfDxf="1" s="1" dxf="1">
    <nc r="D347" t="inlineStr">
      <is>
        <t>24.362.753/0001-05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27" sId="1" xfDxf="1" s="1" dxf="1">
    <nc r="E346" t="inlineStr">
      <is>
        <t>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28" sId="1" xfDxf="1" s="1" dxf="1">
    <nc r="D346" t="inlineStr">
      <is>
        <t>08.955.906/0001-71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29" sId="1">
    <nc r="F346" t="inlineStr">
      <is>
        <t>Simples</t>
      </is>
    </nc>
  </rcc>
  <rcc rId="3530" sId="1" xfDxf="1" dxf="1">
    <oc r="B346" t="inlineStr">
      <is>
        <t>L&amp;A SERVIÇOS DE BUFFET LTDA                       08.955.906/0001-71                           Data Base: Maio</t>
      </is>
    </oc>
    <nc r="B346" t="inlineStr">
      <is>
        <t>L&amp;A</t>
      </is>
    </nc>
    <ndxf>
      <font>
        <sz val="9"/>
        <color rgb="FF263238"/>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531" sId="2" ref="A442:XFD442"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32" sId="2">
    <nc r="A442">
      <v>837</v>
    </nc>
  </rcc>
  <rcc rId="3533" sId="2" xfDxf="1" dxf="1">
    <nc r="B442" t="inlineStr">
      <is>
        <t>L&amp;A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1" xfDxf="1" s="1" sqref="E345"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534" sId="1">
    <nc r="E345" t="inlineStr">
      <is>
        <t>SIND: COMÉRCIO DATA BASE: OUTUBRO</t>
      </is>
    </nc>
  </rcc>
  <rcc rId="3535" sId="1" xfDxf="1" s="1" dxf="1">
    <nc r="D345" t="inlineStr">
      <is>
        <t>11.479.949/0001-32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36" sId="1">
    <nc r="F345" t="inlineStr">
      <is>
        <t>Simples</t>
      </is>
    </nc>
  </rcc>
  <rcc rId="3537" sId="1" xfDxf="1" dxf="1">
    <oc r="B345" t="inlineStr">
      <is>
        <t>CASINHA 649 ART DEC LTDA              DATA BASE: OUTUBRO                        SIND: COMÉRCIO                                 CNPJ: 11.479.949/0001-32</t>
      </is>
    </oc>
    <nc r="B345" t="inlineStr">
      <is>
        <t>CASINHA 649</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538" sId="1" xfDxf="1" dxf="1">
    <oc r="B344" t="inlineStr">
      <is>
        <t>INOVA TEC</t>
      </is>
    </oc>
    <nc r="B344" t="inlineStr">
      <is>
        <t xml:space="preserve">INOVA TEC </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39" sId="2" ref="A441:XFD44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m rId="3540" sheetId="2" source="A440:XFD440" destination="A441:XFD441" sourceSheetId="2">
    <rfmt sheetId="2" xfDxf="1" sqref="A441:XFD441" start="0" length="0"/>
    <rfmt sheetId="2" sqref="A441" start="0" length="0">
      <dxf>
        <font>
          <sz val="10"/>
          <color auto="1"/>
          <name val="Calibri"/>
          <scheme val="minor"/>
        </font>
        <alignment horizontal="center" vertical="center" wrapText="1" readingOrder="0"/>
        <border outline="0">
          <left style="thin">
            <color indexed="64"/>
          </left>
          <right style="thin">
            <color indexed="64"/>
          </right>
          <top style="thin">
            <color indexed="64"/>
          </top>
          <bottom style="thin">
            <color indexed="64"/>
          </bottom>
        </border>
      </dxf>
    </rfmt>
    <rfmt sheetId="2" sqref="B441" start="0" length="0">
      <dxf>
        <font>
          <sz val="10"/>
          <color auto="1"/>
          <name val="Calibri"/>
          <scheme val="minor"/>
        </font>
        <alignment horizontal="left" vertical="center" wrapText="1" readingOrder="0"/>
        <border outline="0">
          <left style="thin">
            <color indexed="64"/>
          </left>
          <right style="thin">
            <color indexed="64"/>
          </right>
          <top style="thin">
            <color indexed="64"/>
          </top>
          <bottom style="thin">
            <color indexed="64"/>
          </bottom>
        </border>
      </dxf>
    </rfmt>
    <rfmt sheetId="2" sqref="C441"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m>
  <rm rId="3541" sheetId="2" source="A442:XFD442" destination="A440:XFD440" sourceSheetId="2">
    <rfmt sheetId="2" xfDxf="1" sqref="A440:XFD440" start="0" length="0"/>
  </rm>
  <rm rId="3542" sheetId="2" source="A441:XFD441" destination="A442:XFD442" sourceSheetId="2">
    <rfmt sheetId="2" xfDxf="1" sqref="A442:XFD442" start="0" length="0"/>
  </rm>
  <rcc rId="3543" sId="2">
    <nc r="A441">
      <v>835</v>
    </nc>
  </rcc>
  <rfmt sheetId="2" sqref="A441">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rfmt>
  <rcc rId="3544" sId="2" xfDxf="1" dxf="1">
    <nc r="B441" t="inlineStr">
      <is>
        <t xml:space="preserve">INOVA TEC </t>
      </is>
    </nc>
  </rcc>
  <rcc rId="3545" sId="1" xfDxf="1" s="1" dxf="1">
    <nc r="D344" t="inlineStr">
      <is>
        <t>34.053.898/0001-88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46" sId="1">
    <nc r="F344" t="inlineStr">
      <is>
        <t>Simples</t>
      </is>
    </nc>
  </rcc>
  <rcc rId="3547" sId="1" xfDxf="1" s="1" dxf="1">
    <nc r="E343" t="inlineStr">
      <is>
        <t>Data Base: Janeiro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D343"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548" sId="1" xfDxf="1" s="1" dxf="1">
    <nc r="D343" t="inlineStr">
      <is>
        <t>18.092.045/0001-07</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49" sId="1" xfDxf="1" dxf="1">
    <oc r="B343" t="inlineStr">
      <is>
        <t>WALAS  MICHEL DE PAULA            18.092.045./0001-07          Data Base: Janeiro</t>
      </is>
    </oc>
    <nc r="B343" t="inlineStr">
      <is>
        <t xml:space="preserve">WALAS MICHEL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50" sId="2" ref="A441:XFD44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51" sId="2">
    <nc r="A441">
      <v>834</v>
    </nc>
  </rcc>
  <rcc rId="3552" sId="2" xfDxf="1" dxf="1">
    <nc r="B441" t="inlineStr">
      <is>
        <t xml:space="preserve">WALAS MICHEL </t>
      </is>
    </nc>
    <ndxf>
      <font>
        <sz val="10"/>
        <color auto="1"/>
      </font>
      <alignment horizontal="left" vertical="center" wrapText="1" readingOrder="0"/>
    </ndxf>
  </rcc>
  <rcc rId="3553" sId="1">
    <nc r="F343" t="inlineStr">
      <is>
        <t>SIMEI</t>
      </is>
    </nc>
  </rcc>
  <rcc rId="3554" sId="1" xfDxf="1" s="1" dxf="1">
    <nc r="D342" t="inlineStr">
      <is>
        <t xml:space="preserve"> 28.145.155/0001-35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55" sId="1">
    <nc r="F342" t="inlineStr">
      <is>
        <t>MEI</t>
      </is>
    </nc>
  </rcc>
  <rcc rId="3556" sId="1" xfDxf="1" dxf="1">
    <oc r="B342" t="inlineStr">
      <is>
        <t>JOAO VICTOR COSTA                         28.145.155/0001-35</t>
      </is>
    </oc>
    <nc r="B342" t="inlineStr">
      <is>
        <t>JOAO VICTOR COSTA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57" sId="2" ref="A441:XFD441"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58" sId="2">
    <nc r="A441">
      <v>833</v>
    </nc>
  </rcc>
  <rcc rId="3559" sId="2" xfDxf="1" dxf="1">
    <nc r="B441" t="inlineStr">
      <is>
        <t>JOAO VICTOR COSTA</t>
      </is>
    </nc>
    <ndxf>
      <font>
        <sz val="10"/>
        <color auto="1"/>
      </font>
      <alignment horizontal="left" vertical="center" wrapText="1" readingOrder="0"/>
    </ndxf>
  </rcc>
  <rcc rId="3560" sId="1" xfDxf="1" s="1" dxf="1">
    <nc r="E341" t="inlineStr">
      <is>
        <t>SAUDE DE RJ  JANEIRO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61" sId="1">
    <nc r="D341" t="inlineStr">
      <is>
        <t>CEI  170611138209</t>
      </is>
    </nc>
  </rcc>
  <rcc rId="3562" sId="1">
    <nc r="F341" t="inlineStr">
      <is>
        <t>CEI</t>
      </is>
    </nc>
  </rcc>
  <rcc rId="3563" sId="1" xfDxf="1" dxf="1">
    <oc r="B341" t="inlineStr">
      <is>
        <t>JULIO CESAR SOUZA DUARTE     SAUDE DE RJ       JANEIRO                  170611138209</t>
      </is>
    </oc>
    <nc r="B341" t="inlineStr">
      <is>
        <t>JULIO CESAR DE SOUZA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564" sId="2" xfDxf="1" dxf="1">
    <oc r="B440" t="inlineStr">
      <is>
        <t>JULIO CESAR SOUZA DUARTE</t>
      </is>
    </oc>
    <nc r="B440" t="inlineStr">
      <is>
        <t>JULIO CESAR DE SOUZA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65" sId="1" xfDxf="1" s="1" dxf="1">
    <nc r="D340" t="inlineStr">
      <is>
        <t>33.902.467/0001-86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66" sId="1">
    <nc r="F340" t="inlineStr">
      <is>
        <t>MEI</t>
      </is>
    </nc>
  </rcc>
  <rfmt sheetId="1" xfDxf="1" sqref="B340"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567" sId="2" ref="A440:XFD44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68" sId="2">
    <nc r="A440">
      <v>831</v>
    </nc>
  </rcc>
  <rcc rId="3569" sId="2" xfDxf="1" dxf="1">
    <nc r="B440" t="inlineStr">
      <is>
        <t>RAISA POLATO DE LIMA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70" sId="1" xfDxf="1" s="1" dxf="1">
    <nc r="E338" t="inlineStr">
      <is>
        <t>DATA BASE: OUTUBRO  SIND: COMÉRCIO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3571" sheetId="1" source="E338" destination="E339" sourceSheetId="1">
    <rfmt sheetId="1" s="1" sqref="E339"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m>
  <rcc rId="3572" sId="1" xfDxf="1" s="1" dxf="1">
    <nc r="D339" t="inlineStr">
      <is>
        <t>31.828.749/0001-55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73" sId="1" xfDxf="1" dxf="1">
    <oc r="B339" t="inlineStr">
      <is>
        <t>PEDBIKE CASA DO CICLISTA LTDA    DATA BASE: OUTUBRO                          SIND: COMÉRCIO                                 CNPJ:31.828.749/0001-55</t>
      </is>
    </oc>
    <nc r="B339" t="inlineStr">
      <is>
        <t xml:space="preserve">PEDBIKE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74" sId="2" ref="A440:XFD44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75" sId="2">
    <nc r="A440">
      <v>830</v>
    </nc>
  </rcc>
  <rcc rId="3576" sId="2" xfDxf="1" dxf="1">
    <nc r="B440" t="inlineStr">
      <is>
        <t xml:space="preserve">PEDBIKE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77" sId="1">
    <nc r="F339" t="inlineStr">
      <is>
        <t>Simples</t>
      </is>
    </nc>
  </rcc>
  <rcc rId="3578" sId="1" xfDxf="1" s="1" dxf="1">
    <nc r="D338" t="inlineStr">
      <is>
        <t>CEI 800033667480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79" sId="1" xfDxf="1" dxf="1">
    <nc r="E338" t="inlineStr">
      <is>
        <t>Data Base: Janeiro</t>
      </is>
    </nc>
    <ndxf>
      <font>
        <sz val="9"/>
        <name val="Arial"/>
        <scheme val="none"/>
      </font>
    </ndxf>
  </rcc>
  <rfmt sheetId="1" sqref="E338" start="0" length="2147483647">
    <dxf>
      <font>
        <color theme="4" tint="-0.249977111117893"/>
      </font>
    </dxf>
  </rfmt>
  <rfmt sheetId="1" sqref="E338" start="0" length="2147483647">
    <dxf>
      <font/>
    </dxf>
  </rfmt>
  <rfmt sheetId="1" sqref="E338">
    <dxf>
      <alignment vertical="center" readingOrder="0"/>
    </dxf>
  </rfmt>
  <rfmt sheetId="1" sqref="E338">
    <dxf>
      <alignment horizontal="center" readingOrder="0"/>
    </dxf>
  </rfmt>
  <rcc rId="3580" sId="1">
    <nc r="F338" t="inlineStr">
      <is>
        <t>Sítio</t>
      </is>
    </nc>
  </rcc>
  <rcc rId="3581" sId="1" xfDxf="1" dxf="1">
    <oc r="B338" t="inlineStr">
      <is>
        <t>BENÍCIO KLEIN                      CEI 800033667480                   Data Base: Janeiro</t>
      </is>
    </oc>
    <nc r="B338" t="inlineStr">
      <is>
        <t>BENICIO KLEIN</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82" sId="2" ref="A440:XFD44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83" sId="2">
    <nc r="A440">
      <v>829</v>
    </nc>
  </rcc>
  <rcc rId="3584" sId="2" xfDxf="1" dxf="1">
    <nc r="B440" t="inlineStr">
      <is>
        <t>BENICIO KLEIN</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85" sId="1" xfDxf="1" s="1" dxf="1">
    <nc r="D337" t="inlineStr">
      <is>
        <t>18.954.310/0001-00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86" sId="1">
    <nc r="F337" t="inlineStr">
      <is>
        <t>Simples</t>
      </is>
    </nc>
  </rcc>
  <rcc rId="3587" sId="1" xfDxf="1" dxf="1">
    <oc r="B337" t="inlineStr">
      <is>
        <t>STRATIVA-APOIO ADM. E TREINAMENTO GERENCIAL            18.954.310/0001-00              Data Base:</t>
      </is>
    </oc>
    <nc r="B337" t="inlineStr">
      <is>
        <t>STRATVA</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88" sId="2" ref="A440:XFD44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89" sId="2" xfDxf="1" dxf="1">
    <nc r="B440" t="inlineStr">
      <is>
        <t>STRATVA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90" sId="2">
    <nc r="A440">
      <v>828</v>
    </nc>
  </rcc>
  <rfmt sheetId="1" sqref="B336" start="0" length="0">
    <dxf>
      <font>
        <sz val="8"/>
        <color auto="1"/>
      </font>
    </dxf>
  </rfmt>
  <rcc rId="3591" sId="1" xfDxf="1" s="1" dxf="1">
    <nc r="E336" t="inlineStr">
      <is>
        <t>COMERCIO JF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92" sId="1" xfDxf="1" s="1" dxf="1">
    <nc r="D336" t="inlineStr">
      <is>
        <t>28.441.423/0003-28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593" sId="1">
    <nc r="F336" t="inlineStr">
      <is>
        <t>Simples</t>
      </is>
    </nc>
  </rcc>
  <rcc rId="3594" sId="1" xfDxf="1" dxf="1">
    <oc r="B336" t="inlineStr">
      <is>
        <t>MSB COMERCIO FILIAL II                  COMERCIO JF     OUTUBRO              28.441.423/0003-28</t>
      </is>
    </oc>
    <nc r="B336" t="inlineStr">
      <is>
        <t>MSB COMERCIO FL 02</t>
      </is>
    </nc>
    <n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595" sId="2" xfDxf="1" dxf="1">
    <oc r="B439" t="inlineStr">
      <is>
        <t>MSB FILIAL II</t>
      </is>
    </oc>
    <nc r="B439" t="inlineStr">
      <is>
        <t>MSB COMERCIO FL 02</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596" sId="1">
    <nc r="F335" t="inlineStr">
      <is>
        <t>Simples</t>
      </is>
    </nc>
  </rcc>
  <rcc rId="3597" sId="1" xfDxf="1" dxf="1">
    <oc r="B335" t="inlineStr">
      <is>
        <t xml:space="preserve">AERO GASTRO MUSIC BAR LTDA   </t>
      </is>
    </oc>
    <nc r="B335" t="inlineStr">
      <is>
        <t xml:space="preserve">AERO GASTRO MUSIC BAR </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598" sId="2" ref="A439:XFD43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599" sId="2">
    <nc r="A439">
      <v>826</v>
    </nc>
  </rcc>
  <rcc rId="3600" sId="2" xfDxf="1" dxf="1">
    <nc r="B439" t="inlineStr">
      <is>
        <t xml:space="preserve">AERO GASTRO MUSIC BAR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01" sId="1" xfDxf="1" s="1" dxf="1">
    <nc r="D335" t="inlineStr">
      <is>
        <t>33.652.061/0001-92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02" sId="1">
    <nc r="F334" t="inlineStr">
      <is>
        <t>MEI</t>
      </is>
    </nc>
  </rcc>
  <rcc rId="3603" sId="1" xfDxf="1" dxf="1">
    <oc r="B334" t="inlineStr">
      <is>
        <t>ANA MARIA GOES CASSARA 49694839653</t>
      </is>
    </oc>
    <nc r="B334" t="inlineStr">
      <is>
        <t xml:space="preserve">ANA MARIA GOES CASSARA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604" sId="2" ref="A439:XFD43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05" sId="2">
    <nc r="A439">
      <v>825</v>
    </nc>
  </rcc>
  <rcc rId="3606" sId="2" xfDxf="1" dxf="1">
    <nc r="B439" t="inlineStr">
      <is>
        <t xml:space="preserve">ANA MARIA GOES CASSARA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07" sId="1" xfDxf="1" s="1" dxf="1">
    <nc r="D334" t="inlineStr">
      <is>
        <t>33.292.838/0001-55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08" sId="1" xfDxf="1" s="1" dxf="1">
    <nc r="D333" t="inlineStr">
      <is>
        <t>656.811.266-68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09" sId="1" xfDxf="1" dxf="1">
    <oc r="B333" t="inlineStr">
      <is>
        <t>Solange Garcia Bastos - Boa Vista</t>
      </is>
    </oc>
    <nc r="B333" t="inlineStr">
      <is>
        <t>SOLANGE GARCIA BASTOS RESENDE</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610" sId="1">
    <nc r="F333" t="inlineStr">
      <is>
        <t>Doméstica</t>
      </is>
    </nc>
  </rcc>
  <rrc rId="3611" sId="2" ref="A439:XFD43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12" sId="2">
    <nc r="A439">
      <v>823</v>
    </nc>
  </rcc>
  <rcc rId="3613" sId="2" xfDxf="1" dxf="1">
    <nc r="B439" t="inlineStr">
      <is>
        <t>SOLANGE GARCIA BASTOS RESENDE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14" sId="1">
    <nc r="F332" t="inlineStr">
      <is>
        <t>MEI</t>
      </is>
    </nc>
  </rcc>
  <rcc rId="3615" sId="1" xfDxf="1" dxf="1">
    <oc r="B332" t="inlineStr">
      <is>
        <t>THAIS PIRES DE SOUZA 07497344692</t>
      </is>
    </oc>
    <nc r="B332" t="inlineStr">
      <is>
        <t>THAIS PIRES DE SOUZA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616" sId="2" ref="A440:XFD44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17" sId="2">
    <nc r="A440">
      <v>824</v>
    </nc>
  </rcc>
  <rcc rId="3618" sId="2" xfDxf="1" dxf="1">
    <nc r="B440" t="inlineStr">
      <is>
        <t>THAIS PIRES DE SOUZA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19" sId="1" xfDxf="1" s="1" dxf="1">
    <nc r="D332" t="inlineStr">
      <is>
        <t>27.283.042/0001-33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sqref="B331" start="0" length="0">
    <dxf>
      <font>
        <sz val="8"/>
        <color auto="1"/>
      </font>
    </dxf>
  </rfmt>
  <rcc rId="3620" sId="1" xfDxf="1" s="1" dxf="1">
    <nc r="D331" t="inlineStr">
      <is>
        <t>SAUDE /MOTORISTA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3621" sheetId="1" source="D331" destination="E331" sourceSheetId="1">
    <rfmt sheetId="1" s="1" sqref="E331" start="0" length="0">
      <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m>
  <rcc rId="3622" sId="1" xfDxf="1" dxf="1">
    <nc r="D331" t="inlineStr">
      <is>
        <t>07.776.232/0001-85</t>
      </is>
    </nc>
    <ndxf>
      <font>
        <sz val="8"/>
        <name val="Arial"/>
        <scheme val="none"/>
      </font>
    </ndxf>
  </rcc>
  <rfmt sheetId="1" sqref="D331" start="0" length="2147483647">
    <dxf>
      <font>
        <color theme="4" tint="-0.249977111117893"/>
      </font>
    </dxf>
  </rfmt>
  <rfmt sheetId="1" sqref="D331">
    <dxf>
      <alignment vertical="center" readingOrder="0"/>
    </dxf>
  </rfmt>
  <rfmt sheetId="1" sqref="D331">
    <dxf>
      <alignment horizontal="center" readingOrder="0"/>
    </dxf>
  </rfmt>
  <rcc rId="3623" sId="1" xfDxf="1" dxf="1">
    <oc r="B331" t="inlineStr">
      <is>
        <t>BOA VISTA PROTESE DENTARIA                                 SAUDE /MOTORISTA                     MAIO         07.776.232/0001-85</t>
      </is>
    </oc>
    <nc r="B331" t="inlineStr">
      <is>
        <t xml:space="preserve">BOA VISTA PROTESE </t>
      </is>
    </nc>
    <n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624" sId="2" xfDxf="1" dxf="1">
    <oc r="B438" t="inlineStr">
      <is>
        <t>BOA VISTA</t>
      </is>
    </oc>
    <nc r="B438" t="inlineStr">
      <is>
        <t xml:space="preserve">BOA VISTA PROTESE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25" sId="1">
    <nc r="F331" t="inlineStr">
      <is>
        <t>Simples</t>
      </is>
    </nc>
  </rcc>
  <rcc rId="3626" sId="1">
    <nc r="F330" t="inlineStr">
      <is>
        <t>Presumido</t>
      </is>
    </nc>
  </rcc>
  <rfmt sheetId="1" sqref="B330" start="0" length="0">
    <dxf>
      <font>
        <sz val="8"/>
        <color auto="1"/>
      </font>
    </dxf>
  </rfmt>
  <rcc rId="3627" sId="1" xfDxf="1" s="1" dxf="1">
    <nc r="D330" t="inlineStr">
      <is>
        <t>07.801.908/0001-43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28" sId="1" xfDxf="1" s="1" dxf="1">
    <nc r="E330" t="inlineStr">
      <is>
        <t>Data base: abril</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29" sId="1" xfDxf="1" dxf="1">
    <oc r="B330" t="inlineStr">
      <is>
        <t>CH. VIDON - ESPECIALISTAS, SERVICOS E EQUIPAMENTOS FERROVIARIOS LTDA                  Presumido 07.801.908/0001-43         Data base: abril</t>
      </is>
    </oc>
    <nc r="B330" t="inlineStr">
      <is>
        <t>CH. VIDON</t>
      </is>
    </nc>
    <ndxf>
      <font>
        <sz val="8"/>
        <color auto="1"/>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630" sId="1">
    <nc r="F329" t="inlineStr">
      <is>
        <t>Simples</t>
      </is>
    </nc>
  </rcc>
  <rcc rId="3631" sId="1">
    <nc r="E329" t="inlineStr">
      <is>
        <t>Data base: outubro</t>
      </is>
    </nc>
  </rcc>
  <rcc rId="3632" sId="1" xfDxf="1" dxf="1">
    <oc r="B329" t="inlineStr">
      <is>
        <t>MADEIRAS XINGUARA LTDA   Simples 21.526.470/0003-25   Data base: outubro</t>
      </is>
    </oc>
    <nc r="B329" t="inlineStr">
      <is>
        <t>MADEIRAS XINGUARA FL</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633" sId="2" xfDxf="1" dxf="1">
    <oc r="B437" t="inlineStr">
      <is>
        <t>MADEIRA XINGUARA FILIAL</t>
      </is>
    </oc>
    <nc r="B437" t="inlineStr">
      <is>
        <t>MADEIRAS XINGUARA FL</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34" sId="1" xfDxf="1" s="1" dxf="1">
    <nc r="D329" t="inlineStr">
      <is>
        <t>21.526.470/0003-25</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35" sId="1">
    <nc r="F328" t="inlineStr">
      <is>
        <t>Simples</t>
      </is>
    </nc>
  </rcc>
  <rcc rId="3636" sId="1" xfDxf="1" dxf="1">
    <oc r="B328" t="inlineStr">
      <is>
        <t>IMPULSIONA THAIKETING LTDA</t>
      </is>
    </oc>
    <nc r="B328" t="inlineStr">
      <is>
        <t>IMPULSIONA</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637"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38" sId="2">
    <nc r="A437">
      <v>818</v>
    </nc>
  </rcc>
  <rcc rId="3639" sId="2" xfDxf="1" dxf="1">
    <nc r="B437" t="inlineStr">
      <is>
        <t>IMPULSIONA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40" sId="1" xfDxf="1" s="1" dxf="1">
    <nc r="D328" t="inlineStr">
      <is>
        <t>33.260.279/0001-00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41" sId="1" xfDxf="1" s="1" dxf="1">
    <nc r="E327"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1" sqref="D327"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642" sId="1">
    <nc r="D327" t="inlineStr">
      <is>
        <t>24.800.349/0001-76</t>
      </is>
    </nc>
  </rcc>
  <rcc rId="3643" sId="1" xfDxf="1" dxf="1">
    <oc r="B327" t="inlineStr">
      <is>
        <t>DHENIELL ALEXANDER GUIMARAES LEANDRO 24.800.349/0001-79                  Data Base: Outubro</t>
      </is>
    </oc>
    <nc r="B327" t="inlineStr">
      <is>
        <t>DHENIELL ALEXANDER</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644" sId="2" ref="A437:XFD43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45" sId="2" xfDxf="1" dxf="1">
    <nc r="B437" t="inlineStr">
      <is>
        <t>DHENIELL ALEXANDER</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46" sId="2">
    <nc r="A437">
      <v>817</v>
    </nc>
  </rcc>
  <rcc rId="3647" sId="1">
    <nc r="F327" t="inlineStr">
      <is>
        <t>MEI</t>
      </is>
    </nc>
  </rcc>
  <rcc rId="3648" sId="1" xfDxf="1" s="1" dxf="1">
    <nc r="D326" t="inlineStr">
      <is>
        <t>086.659.737-96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49" sId="1" xfDxf="1" dxf="1">
    <oc r="B326" t="inlineStr">
      <is>
        <t>CRISTIANNE DE MEDEIROS NOGUEIRA</t>
      </is>
    </oc>
    <nc r="B326" t="inlineStr">
      <is>
        <t>CRISTIANE DE MEDEIROS NOGUEIRA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650" sId="1">
    <nc r="F326" t="inlineStr">
      <is>
        <t>Doméstica</t>
      </is>
    </nc>
  </rcc>
  <rcc rId="3651" sId="2" xfDxf="1" dxf="1">
    <oc r="B436" t="inlineStr">
      <is>
        <t>CRISTIANE DE MEDEIROS</t>
      </is>
    </oc>
    <nc r="B436" t="inlineStr">
      <is>
        <t>CRISTIANE DE MEDEIROS NOGUEIRA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52" sId="1" xfDxf="1" s="1" dxf="1">
    <nc r="D325" t="inlineStr">
      <is>
        <t>18.325.593/0001-21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53" sId="1" xfDxf="1" dxf="1">
    <oc r="B325" t="inlineStr">
      <is>
        <t>MARIANA RODRIGUES</t>
      </is>
    </oc>
    <nc r="B325" t="inlineStr">
      <is>
        <t>MARIANA NORONHA</t>
      </is>
    </nc>
    <ndxf>
      <font>
        <sz val="9"/>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cc rId="3654" sId="1">
    <nc r="F325" t="inlineStr">
      <is>
        <t>MEI</t>
      </is>
    </nc>
  </rcc>
  <rrc rId="3655"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56" sId="2" xfDxf="1" dxf="1">
    <nc r="B436" t="inlineStr">
      <is>
        <t>MARIANA NORONHA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57" sId="2">
    <nc r="A436">
      <v>815</v>
    </nc>
  </rcc>
  <rfmt sheetId="1" xfDxf="1" s="1" sqref="D324"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658" sId="1" xfDxf="1" s="1" dxf="1">
    <nc r="E324" t="inlineStr">
      <is>
        <t>Data Base:  Maio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59" sId="1">
    <nc r="D324" t="inlineStr">
      <is>
        <t>CEI  800016361505</t>
      </is>
    </nc>
  </rcc>
  <rcc rId="3660" sId="1">
    <nc r="F324" t="inlineStr">
      <is>
        <t>CEI</t>
      </is>
    </nc>
  </rcc>
  <rfmt sheetId="1" xfDxf="1" sqref="B324"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661" sId="1" xfDxf="1" dxf="1">
    <oc r="B324" t="inlineStr">
      <is>
        <t>NATALIA FERNANDES DE ALMEIDA GOMES                                                                   CEI  800.016.361/505                                    Data Base:  Maio</t>
      </is>
    </oc>
    <nc r="B324" t="inlineStr">
      <is>
        <t>NATALIA FERNANDES</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662"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63" sId="2">
    <nc r="A436">
      <v>814</v>
    </nc>
  </rcc>
  <rcc rId="3664" sId="2" xfDxf="1" dxf="1">
    <nc r="B436" t="inlineStr">
      <is>
        <t>NATALIA FERNANDES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65" sId="1" xfDxf="1" dxf="1">
    <oc r="B323" t="inlineStr">
      <is>
        <t>TEXAS FRANQUEADORA LTDA</t>
      </is>
    </oc>
    <nc r="B323" t="inlineStr">
      <is>
        <t>TEXAS FRANQUEADORA</t>
      </is>
    </nc>
    <ndxf>
      <font>
        <sz val="9"/>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cc rId="3666" sId="1">
    <nc r="F323" t="inlineStr">
      <is>
        <t>Simples</t>
      </is>
    </nc>
  </rcc>
  <rrc rId="3667"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68" sId="2" xfDxf="1" dxf="1">
    <nc r="B436" t="inlineStr">
      <is>
        <t>TEXAS FRANQUEADORA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69" sId="2">
    <nc r="A436">
      <v>813</v>
    </nc>
  </rcc>
  <rcc rId="3670" sId="1" xfDxf="1" s="1" dxf="1">
    <nc r="D323" t="inlineStr">
      <is>
        <t>33.093.580/0001-68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71" sId="1" xfDxf="1" s="1" dxf="1">
    <nc r="D322" t="inlineStr">
      <is>
        <t>926.847.696-72</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72" sId="1">
    <nc r="F322" t="inlineStr">
      <is>
        <t>Doméstica</t>
      </is>
    </nc>
  </rcc>
  <rfmt sheetId="1" xfDxf="1" sqref="B322" start="0" length="0">
    <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rc rId="3673"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74" sId="2">
    <nc r="A436">
      <v>812</v>
    </nc>
  </rcc>
  <rcc rId="3675" sId="2" xfDxf="1" dxf="1">
    <nc r="B436" t="inlineStr">
      <is>
        <t>DENIZ GOMES DA SILVA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76" sId="1">
    <nc r="F321" t="inlineStr">
      <is>
        <t>Simples</t>
      </is>
    </nc>
  </rcc>
  <rcc rId="3677" sId="1" xfDxf="1" dxf="1">
    <oc r="B321" t="inlineStr">
      <is>
        <t>QA REPRESENTACAO LTDA</t>
      </is>
    </oc>
    <nc r="B321" t="inlineStr">
      <is>
        <t>QA REPRESENTACAO</t>
      </is>
    </nc>
    <ndxf>
      <font>
        <sz val="10"/>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ndxf>
  </rcc>
  <rrc rId="3678"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79" sId="2">
    <nc r="A436">
      <v>808</v>
    </nc>
  </rcc>
  <rcc rId="3680" sId="2" xfDxf="1" dxf="1">
    <nc r="B436" t="inlineStr">
      <is>
        <t>QA REPRESENTACAO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81" sId="1" xfDxf="1" s="1" dxf="1">
    <nc r="D321" t="inlineStr">
      <is>
        <t>32.969.786/0001-46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82" sId="1" xfDxf="1" s="1" dxf="1">
    <nc r="D320" t="inlineStr">
      <is>
        <t>322.085.457-53</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83" sId="1">
    <nc r="F320" t="inlineStr">
      <is>
        <t>Doméstica</t>
      </is>
    </nc>
  </rcc>
  <rcc rId="3684" sId="1" xfDxf="1" dxf="1">
    <oc r="B320" t="inlineStr">
      <is>
        <t>MARIA HELENA FALCÃO (NÃO VAI FAZER MAIS)</t>
      </is>
    </oc>
    <nc r="B320" t="inlineStr">
      <is>
        <t>MARIA HELENA FALCAO VASCONCELLOS</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685"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86" sId="2">
    <nc r="A436">
      <v>807</v>
    </nc>
  </rcc>
  <rcc rId="3687" sId="2" xfDxf="1" dxf="1">
    <nc r="B436" t="inlineStr">
      <is>
        <t>MARIA HELENA FALCAO VASCONCELLOS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88" sId="2">
    <nc r="C436" t="inlineStr">
      <is>
        <t>não vai mais fazer</t>
      </is>
    </nc>
  </rcc>
  <rcv guid="{EA2840B9-4395-4F38-9C2E-B3C8A78F8E87}" action="delete"/>
  <rdn rId="0" localSheetId="2" customView="1" name="Z_EA2840B9_4395_4F38_9C2E_B3C8A78F8E87_.wvu.FilterData" hidden="1" oldHidden="1">
    <formula>Particularidade!$A$1:$D$243</formula>
    <oldFormula>Particularidade!$A$1:$D$243</oldFormula>
  </rdn>
  <rdn rId="0" localSheetId="1" customView="1" name="Z_EA2840B9_4395_4F38_9C2E_B3C8A78F8E87_.wvu.FilterData" hidden="1" oldHidden="1">
    <formula>'Controle Empresas'!$A$1:$M$419</formula>
    <oldFormula>'Controle Empresas'!$A$1:$M$419</oldFormula>
  </rdn>
  <rcv guid="{EA2840B9-4395-4F38-9C2E-B3C8A78F8E87}"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691" sId="1" xfDxf="1" s="1" dxf="1">
    <nc r="D319" t="inlineStr">
      <is>
        <t>30.090.425/0001-08</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92" sId="1" xfDxf="1" dxf="1">
    <oc r="B319" t="inlineStr">
      <is>
        <t>ISABELLA OG QUINTAO DUAYER 01922812676</t>
      </is>
    </oc>
    <nc r="B319" t="inlineStr">
      <is>
        <t>ISABELLA OG</t>
      </is>
    </nc>
    <ndxf>
      <font>
        <sz val="9"/>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cc rId="3693" sId="1">
    <nc r="F319" t="inlineStr">
      <is>
        <t>MEI</t>
      </is>
    </nc>
  </rcc>
  <rrc rId="3694" sId="2" ref="A436:XFD436"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695" sId="2">
    <nc r="A436">
      <v>806</v>
    </nc>
  </rcc>
  <rcc rId="3696" sId="2" xfDxf="1" dxf="1">
    <nc r="B436" t="inlineStr">
      <is>
        <t>ISABELLA OG</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697" sId="1">
    <nc r="F318" t="inlineStr">
      <is>
        <t>Presumido</t>
      </is>
    </nc>
  </rcc>
  <rcc rId="3698" sId="1" xfDxf="1" s="1" dxf="1">
    <nc r="D318" t="inlineStr">
      <is>
        <t xml:space="preserve">15.380.938/0001-51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699" sId="1" xfDxf="1" s="1" dxf="1">
    <nc r="E318" t="inlineStr">
      <is>
        <t>COMERCIO 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1" xfDxf="1" sqref="B318"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3700" sId="1" xfDxf="1" dxf="1">
    <oc r="B318" t="inlineStr">
      <is>
        <t>AUTO CERTO COMERCIO DE VEICULOS           COMERCIO                                                   Presumido 15.380.938/0001-51        Data base: OUTUBRO</t>
      </is>
    </oc>
    <nc r="B318" t="inlineStr">
      <is>
        <t xml:space="preserve">AUTO CERTO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01" sId="2" xfDxf="1" dxf="1">
    <oc r="B435" t="inlineStr">
      <is>
        <t>AUTO CERTO</t>
      </is>
    </oc>
    <nc r="B435" t="inlineStr">
      <is>
        <t xml:space="preserve">AUTO CERTO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02" sId="1" xfDxf="1" s="1" dxf="1">
    <nc r="D317" t="inlineStr">
      <is>
        <t>01.384.738/0001-62</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03" sId="1" xfDxf="1" dxf="1">
    <oc r="B317" t="inlineStr">
      <is>
        <t>ÁRVORE ASSESSORIA DE COMUNICACAO LTDA</t>
      </is>
    </oc>
    <nc r="B317" t="inlineStr">
      <is>
        <t>ARVORE ASSESSORIA DE COMUNICACAO LTDA</t>
      </is>
    </nc>
    <ndxf>
      <font>
        <sz val="9"/>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rc rId="3704" sId="2" ref="A435:XFD435"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05" sId="2">
    <nc r="A435">
      <v>804</v>
    </nc>
  </rcc>
  <rcc rId="3706" sId="2" xfDxf="1" dxf="1">
    <nc r="B435" t="inlineStr">
      <is>
        <t>ARVORE ASSESSORIA DE COMUNICACAO LTDA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07" sId="1" xfDxf="1" s="1" dxf="1">
    <nc r="E316" t="inlineStr">
      <is>
        <t>Data base: OUTUBRO</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08" sId="1">
    <nc r="F316" t="inlineStr">
      <is>
        <t>Simples</t>
      </is>
    </nc>
  </rcc>
  <rfmt sheetId="1" xfDxf="1" s="1" sqref="D316"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709" sId="1">
    <nc r="D316" t="inlineStr">
      <is>
        <t>24.489.302/0002-14</t>
      </is>
    </nc>
  </rcc>
  <rcc rId="3710" sId="1" xfDxf="1" dxf="1">
    <oc r="B316" t="inlineStr">
      <is>
        <t>MYCASE ACESSORIOS COMERCIO FILIAL  Simples 24.489.302/00002-14         Data base: OUTUBRO</t>
      </is>
    </oc>
    <nc r="B316" t="inlineStr">
      <is>
        <t>MYCASE FILIAL</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11" sId="1" xfDxf="1" s="1" dxf="1">
    <nc r="D315" t="inlineStr">
      <is>
        <t>24.489.302/0001-33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12" sId="1" xfDxf="1" s="1" dxf="1">
    <nc r="E315" t="inlineStr">
      <is>
        <t>Data base: OUTUBRO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13" sId="1">
    <nc r="F315" t="inlineStr">
      <is>
        <t>Simples</t>
      </is>
    </nc>
  </rcc>
  <rcc rId="3714" sId="1" xfDxf="1" dxf="1">
    <oc r="B315" t="inlineStr">
      <is>
        <t>MYCASE ACESSORIOS COMERCIO MATRIZ                                                       Simples  24.489.302/0001-33           Data base: OUTUBRO</t>
      </is>
    </oc>
    <nc r="B315" t="inlineStr">
      <is>
        <t>MYCASE</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15" sId="2" xfDxf="1" dxf="1">
    <oc r="B433" t="inlineStr">
      <is>
        <t>MYCASE MATRIZ</t>
      </is>
    </oc>
    <nc r="B433" t="inlineStr">
      <is>
        <t>MYCASE</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16" sId="1" xfDxf="1" s="1" dxf="1">
    <nc r="E314" t="inlineStr">
      <is>
        <t xml:space="preserve"> Data base: Janeiro  </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17" sId="1" xfDxf="1" s="1" dxf="1">
    <nc r="D314" t="inlineStr">
      <is>
        <t>29.237.148/0001-26</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18" sId="1" xfDxf="1" dxf="1">
    <oc r="B314" t="inlineStr">
      <is>
        <t xml:space="preserve">L. B. FOUREAUX                                           29.237.148/0001-26                     Data base: Janeiro   </t>
      </is>
    </oc>
    <nc r="B314" t="inlineStr">
      <is>
        <t xml:space="preserve">QUARTZO STUDIO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19" sId="2" xfDxf="1" dxf="1">
    <oc r="B432" t="inlineStr">
      <is>
        <t>L.B.FOUREAUX ( QUARZO)</t>
      </is>
    </oc>
    <nc r="B432" t="inlineStr">
      <is>
        <t xml:space="preserve">QUARTZO STUDIO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20" sId="1">
    <nc r="F314" t="inlineStr">
      <is>
        <t>Simples</t>
      </is>
    </nc>
  </rcc>
  <rcc rId="3721" sId="1" xfDxf="1" s="1" dxf="1">
    <nc r="D313" t="inlineStr">
      <is>
        <t>CEI 512443396769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22" sId="1" xfDxf="1" s="1" dxf="1">
    <nc r="E313" t="inlineStr">
      <is>
        <t xml:space="preserve">Data base: abril  </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23" sId="1">
    <nc r="F313" t="inlineStr">
      <is>
        <t>CEI</t>
      </is>
    </nc>
  </rcc>
  <rcc rId="3724" sId="1" xfDxf="1" dxf="1">
    <oc r="B313" t="inlineStr">
      <is>
        <t xml:space="preserve">JOAO VIERA DE QUEIROZ NETO      CEI     512443396769                      Data base: abril       </t>
      </is>
    </oc>
    <nc r="B313" t="inlineStr">
      <is>
        <t>JOAO VIEIRA DE QUEIROZ NETO</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25" sId="2" xfDxf="1" dxf="1">
    <oc r="B431" t="inlineStr">
      <is>
        <t>João Queiroz</t>
      </is>
    </oc>
    <nc r="B431" t="inlineStr">
      <is>
        <t>JOAO VIEIRA DE QUEIROZ NETO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26" sId="1" xfDxf="1" s="1" dxf="1">
    <nc r="D311" t="inlineStr">
      <is>
        <t>060.911.686-06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27" sId="1">
    <nc r="F311" t="inlineStr">
      <is>
        <t>Doméstica</t>
      </is>
    </nc>
  </rcc>
  <rcc rId="3728" sId="1" xfDxf="1" dxf="1">
    <oc r="B311" t="inlineStr">
      <is>
        <t>NATÁLIA MELO</t>
      </is>
    </oc>
    <nc r="B311" t="inlineStr">
      <is>
        <t>NATALIA MELO</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729" sId="2" ref="A430:XFD43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30" sId="2">
    <nc r="A430">
      <v>798</v>
    </nc>
  </rcc>
  <rcc rId="3731" sId="2" xfDxf="1" dxf="1">
    <nc r="B430" t="inlineStr">
      <is>
        <t>NATALIA MELO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32" sId="1" xfDxf="1" s="1" dxf="1">
    <nc r="D310" t="inlineStr">
      <is>
        <t>076.591.067-59</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33" sId="1" xfDxf="1" dxf="1">
    <oc r="B310" t="inlineStr">
      <is>
        <t>ALEXANDRA CARDOSO CORDEIRO GOMES</t>
      </is>
    </oc>
    <nc r="B310" t="inlineStr">
      <is>
        <t xml:space="preserve">ALEXSANDRA CARDOSO </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34" sId="1">
    <nc r="F310" t="inlineStr">
      <is>
        <t>Doméstica</t>
      </is>
    </nc>
  </rcc>
  <rrc rId="3735" sId="2" ref="A430:XFD43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36" sId="2" xfDxf="1" dxf="1">
    <nc r="B430" t="inlineStr">
      <is>
        <t xml:space="preserve">ALEXSANDRA CARDOSO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37" sId="2">
    <nc r="A430">
      <v>797</v>
    </nc>
  </rcc>
  <rcc rId="3738" sId="1">
    <nc r="F309" t="inlineStr">
      <is>
        <t>Simples</t>
      </is>
    </nc>
  </rcc>
  <rcc rId="3739" sId="1" xfDxf="1" dxf="1">
    <oc r="B309" t="inlineStr">
      <is>
        <t>SOUZA OLIVEIRA SOUZA ADVOCACIA</t>
      </is>
    </oc>
    <nc r="B309" t="inlineStr">
      <is>
        <t>SOUZA OLIVEIRA SOUZA</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740" sId="2" ref="A430:XFD430"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41" sId="2">
    <nc r="A430">
      <v>796</v>
    </nc>
  </rcc>
  <rcc rId="3742" sId="2" xfDxf="1" dxf="1">
    <nc r="B430" t="inlineStr">
      <is>
        <t>SOUZA OLIVEIRA SOUZA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43" sId="1" xfDxf="1" s="1" dxf="1">
    <nc r="D309" t="inlineStr">
      <is>
        <t>32.681.364/0001-70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44" sId="1" xfDxf="1" s="1" dxf="1">
    <nc r="E309" t="inlineStr">
      <is>
        <t>Data Base: Maio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45" sId="1" xfDxf="1" s="1" dxf="1">
    <nc r="D308" t="inlineStr">
      <is>
        <t>22.169.863/0001-20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m rId="3746" sheetId="1" source="E309" destination="E308" sourceSheetId="1">
    <rfmt sheetId="1" s="1" sqref="E308" start="0" length="0">
      <dxf>
        <font>
          <u/>
          <sz val="9"/>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m>
  <rcc rId="3747" sId="1">
    <nc r="F308" t="inlineStr">
      <is>
        <t>Simples</t>
      </is>
    </nc>
  </rcc>
  <rcc rId="3748" sId="1" xfDxf="1" dxf="1">
    <oc r="B308" t="inlineStr">
      <is>
        <t>FISIO 4 KIDS REABIL. INFANTIL LTDA       22.169.863/0001-20              Data Base: Maio</t>
      </is>
    </oc>
    <nc r="B308" t="inlineStr">
      <is>
        <t>FISIO 4 KIDS</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49" sId="1" xfDxf="1" s="1" dxf="1">
    <nc r="D307" t="inlineStr">
      <is>
        <t>21.179.296/0001-20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50" sId="1">
    <nc r="F307" t="inlineStr">
      <is>
        <t>Associação</t>
      </is>
    </nc>
  </rcc>
  <rcc rId="3751" sId="1" xfDxf="1" dxf="1">
    <oc r="B307" t="inlineStr">
      <is>
        <t>ROTARY CLUBE JUIZ DE FORA NORTE</t>
      </is>
    </oc>
    <nc r="B307" t="inlineStr">
      <is>
        <t>ROTARY</t>
      </is>
    </nc>
    <ndxf>
      <font>
        <sz val="9"/>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rc rId="3752"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53" sId="2">
    <nc r="A429">
      <v>793</v>
    </nc>
  </rcc>
  <rcc rId="3754" sId="2" xfDxf="1" dxf="1">
    <nc r="B429" t="inlineStr">
      <is>
        <t>ROTARY</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55" sId="1" xfDxf="1" dxf="1">
    <oc r="B306" t="inlineStr">
      <is>
        <t>IMPRIMA DIGITAL LTDA</t>
      </is>
    </oc>
    <nc r="B306" t="inlineStr">
      <is>
        <t>IMPRIMA</t>
      </is>
    </nc>
    <ndxf>
      <font>
        <sz val="9"/>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rc rId="3756"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57" sId="2" xfDxf="1" dxf="1">
    <nc r="B429" t="inlineStr">
      <is>
        <t>IMPRIMA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58" sId="2">
    <nc r="A429">
      <v>792</v>
    </nc>
  </rcc>
  <rcc rId="3759" sId="1" xfDxf="1" s="1" dxf="1">
    <nc r="D306" t="inlineStr">
      <is>
        <t>19.969.388/0001-61</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60" sId="1" xfDxf="1" s="1" dxf="1">
    <nc r="E305" t="inlineStr">
      <is>
        <t>DATA BASE: JANEIRO</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61" sId="1" xfDxf="1" s="1" dxf="1">
    <nc r="D305" t="inlineStr">
      <is>
        <t>05.941.175/0001-17</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62" sId="1" xfDxf="1" dxf="1">
    <oc r="B305" t="inlineStr">
      <is>
        <t>RICO COPIAS LTDA  SIND: FEDERAÇÃO DATA BASE: JANEIRO  CNPJ:05.941.175/0001-17</t>
      </is>
    </oc>
    <nc r="B305" t="inlineStr">
      <is>
        <t xml:space="preserve">RICO COPIAS </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763"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64" sId="2">
    <nc r="A429">
      <v>791</v>
    </nc>
  </rcc>
  <rcc rId="3765" sId="2" xfDxf="1" dxf="1">
    <nc r="B429" t="inlineStr">
      <is>
        <t xml:space="preserve">RICO COPIAS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66" sId="1" xfDxf="1" s="1" dxf="1">
    <nc r="D304" t="inlineStr">
      <is>
        <t>29.506.226/0001-40</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67" sId="1" xfDxf="1" dxf="1">
    <oc r="B304" t="inlineStr">
      <is>
        <t>THAICIA ESTERCI DE CARVALHO 76281086600</t>
      </is>
    </oc>
    <nc r="B304" t="inlineStr">
      <is>
        <t xml:space="preserve">CASA DE RACAO </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768"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69" sId="2" xfDxf="1" dxf="1">
    <nc r="B429" t="inlineStr">
      <is>
        <t xml:space="preserve">CASA DE RACAO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70" sId="2">
    <nc r="A429">
      <v>790</v>
    </nc>
  </rcc>
  <rcc rId="3771" sId="1">
    <nc r="F304" t="inlineStr">
      <is>
        <t>Simples</t>
      </is>
    </nc>
  </rcc>
  <rcc rId="3772" sId="1">
    <nc r="F303" t="inlineStr">
      <is>
        <t>Simples</t>
      </is>
    </nc>
  </rcc>
  <rfmt sheetId="1" xfDxf="1" s="1" sqref="D303" start="0" length="0">
    <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3773" sId="1" xfDxf="1" dxf="1">
    <oc r="B303" t="inlineStr">
      <is>
        <t>ELZA FRANCISCO DO NASCIMENTO &amp; CIA LTDA( SABOR Mineiro)</t>
      </is>
    </oc>
    <nc r="B303" t="inlineStr">
      <is>
        <t>SABOR MINEIRO</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774"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75" sId="2">
    <nc r="A429">
      <v>789</v>
    </nc>
  </rcc>
  <rcc rId="3776" sId="2" xfDxf="1" dxf="1">
    <nc r="B429" t="inlineStr">
      <is>
        <t>SABOR MINEIRO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77" sId="1" xfDxf="1" s="1" dxf="1">
    <nc r="D303" t="inlineStr">
      <is>
        <t>22.543.551/0001-34</t>
      </is>
    </nc>
    <ndxf>
      <font>
        <b val="0"/>
        <i val="0"/>
        <strike val="0"/>
        <condense val="0"/>
        <extend val="0"/>
        <outline val="0"/>
        <shadow val="0"/>
        <u/>
        <vertAlign val="baseline"/>
        <sz val="9"/>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78" sId="1" xfDxf="1" s="1" dxf="1">
    <nc r="D302" t="inlineStr">
      <is>
        <t>098.303.597-00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79" sId="1" xfDxf="1" dxf="1">
    <oc r="B302" t="inlineStr">
      <is>
        <t>JORGE MANUEL LARANJEIRA DA SILVA</t>
      </is>
    </oc>
    <nc r="B302" t="inlineStr">
      <is>
        <t>JORGE MANUEL</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780" sId="1">
    <nc r="F302" t="inlineStr">
      <is>
        <t>Doméstica</t>
      </is>
    </nc>
  </rcc>
  <rrc rId="3781"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82" sId="2">
    <nc r="B429" t="inlineStr">
      <is>
        <t>JORGE MANUEL</t>
      </is>
    </nc>
  </rcc>
  <rcc rId="3783" sId="2">
    <nc r="A429">
      <v>788</v>
    </nc>
  </rcc>
  <rcc rId="3784" sId="1" xfDxf="1" s="1" dxf="1">
    <nc r="D301" t="inlineStr">
      <is>
        <t>28.501.761/0001-46</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85" sId="1">
    <nc r="F301" t="inlineStr">
      <is>
        <t>Simples</t>
      </is>
    </nc>
  </rcc>
  <rcc rId="3786" sId="1" xfDxf="1" dxf="1">
    <oc r="B301" t="inlineStr">
      <is>
        <t>LUCAS GOMES</t>
      </is>
    </oc>
    <nc r="B301" t="inlineStr">
      <is>
        <t xml:space="preserve">LUCAS GOMES DE OLIVEIRA </t>
      </is>
    </nc>
    <ndxf>
      <font>
        <sz val="10"/>
        <color auto="1"/>
        <name val="Arial"/>
        <scheme val="none"/>
      </font>
      <fill>
        <patternFill patternType="solid">
          <bgColor theme="9" tint="0.59999389629810485"/>
        </patternFill>
      </fill>
      <alignment horizontal="center" vertical="center" wrapText="1" readingOrder="0"/>
      <border outline="0">
        <left style="thin">
          <color indexed="64"/>
        </left>
        <right style="thin">
          <color indexed="64"/>
        </right>
        <top style="thin">
          <color indexed="64"/>
        </top>
        <bottom style="thin">
          <color indexed="64"/>
        </bottom>
      </border>
    </ndxf>
  </rcc>
  <rrc rId="3787"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88" sId="2">
    <nc r="A429">
      <v>787</v>
    </nc>
  </rcc>
  <rcc rId="3789" sId="2" xfDxf="1" dxf="1">
    <nc r="B429" t="inlineStr">
      <is>
        <t xml:space="preserve">LUCAS GOMES DE OLIVEIRA </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790" sId="1">
    <nc r="F300" t="inlineStr">
      <is>
        <t>Simples</t>
      </is>
    </nc>
  </rcc>
  <rcc rId="3791" sId="1" xfDxf="1" dxf="1">
    <oc r="B300" t="inlineStr">
      <is>
        <t>ALO CHINA TELE ENTREGA DE COMIDA CHINESA LTDA</t>
      </is>
    </oc>
    <nc r="B300" t="inlineStr">
      <is>
        <t>ALO CHINA TELE ENTREGA DE COMIDA CHINESA</t>
      </is>
    </nc>
    <ndxf>
      <font>
        <sz val="10"/>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792" sId="2" ref="A429:XFD429"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793" sId="2" xfDxf="1" dxf="1">
    <nc r="B429" t="inlineStr">
      <is>
        <t>ALO CHINA TELE ENTREGA DE COMIDA CHINESA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fmt sheetId="2" sqref="B429" start="0" length="2147483647">
    <dxf>
      <font>
        <sz val="9"/>
      </font>
    </dxf>
  </rfmt>
  <rcc rId="3794" sId="2">
    <nc r="A429">
      <v>786</v>
    </nc>
  </rcc>
  <rcc rId="3795" sId="1" xfDxf="1" s="1" dxf="1">
    <nc r="D300" t="inlineStr">
      <is>
        <t>32.351.045/0001-05</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96" sId="1" xfDxf="1" s="1" dxf="1">
    <nc r="E299" t="inlineStr">
      <is>
        <t>DATA BASE: OUT</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97" sId="1" xfDxf="1" s="1" dxf="1">
    <nc r="D299" t="inlineStr">
      <is>
        <t>18.764.067/0001-68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798" sId="1">
    <nc r="F299" t="inlineStr">
      <is>
        <t>Simples</t>
      </is>
    </nc>
  </rcc>
  <rcc rId="3799" sId="1" xfDxf="1" dxf="1">
    <oc r="B299" t="inlineStr">
      <is>
        <t>RPM DISTRIBUICAO SIND: COMÉRCIO  DATA BASE: OUT   CNPJ: 18.764.067/0001-68</t>
      </is>
    </oc>
    <nc r="B299" t="inlineStr">
      <is>
        <t>RPM DISTRIBUICAO</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800" sId="2" xfDxf="1" dxf="1">
    <oc r="B428" t="inlineStr">
      <is>
        <t>RPM DISTRIBUIÇÃO</t>
      </is>
    </oc>
    <nc r="B428" t="inlineStr">
      <is>
        <t>RPM DISTRIBUICAO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801" sId="1" xfDxf="1" s="1" dxf="1">
    <nc r="D298" t="inlineStr">
      <is>
        <t>008.997.046-20</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802" sId="1" xfDxf="1" dxf="1">
    <oc r="B298" t="inlineStr">
      <is>
        <t>HUMBERTO ZAGUETO</t>
      </is>
    </oc>
    <nc r="B298" t="inlineStr">
      <is>
        <t>HUMBERTO ZAGUETTO</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803" sId="2" ref="A428:XFD428"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804" sId="2">
    <nc r="A428">
      <v>782</v>
    </nc>
  </rcc>
  <rcc rId="3805" sId="2" xfDxf="1" dxf="1">
    <nc r="B428" t="inlineStr">
      <is>
        <t>HUMBERTO ZAGUETTO</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3806" sId="1">
    <nc r="F298" t="inlineStr">
      <is>
        <t>Doméstica</t>
      </is>
    </nc>
  </rcc>
  <rcc rId="3807" sId="1" xfDxf="1" s="1" dxf="1">
    <nc r="D297" t="inlineStr">
      <is>
        <t>002.617.016-73</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808" sId="1" xfDxf="1" dxf="1">
    <oc r="B297" t="inlineStr">
      <is>
        <t xml:space="preserve">DIEGO MAGRI JUSTE  </t>
      </is>
    </oc>
    <nc r="B297" t="inlineStr">
      <is>
        <t>DIEGO MAGRI JUSTE</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3809" sId="1">
    <nc r="F297" t="inlineStr">
      <is>
        <t>Doméstica</t>
      </is>
    </nc>
  </rcc>
  <rcc rId="3810" sId="1" xfDxf="1" s="1" dxf="1">
    <nc r="D296" t="inlineStr">
      <is>
        <t>025.803.546-38</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811" sId="1" xfDxf="1" s="1" dxf="1">
    <nc r="E296" t="inlineStr">
      <is>
        <t>FUNC. DE LICENÇA MATERNIDADE</t>
      </is>
    </nc>
    <ndxf>
      <font>
        <b val="0"/>
        <i val="0"/>
        <strike val="0"/>
        <condense val="0"/>
        <extend val="0"/>
        <outline val="0"/>
        <shadow val="0"/>
        <u/>
        <vertAlign val="baseline"/>
        <sz val="10"/>
        <color theme="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cc rId="3812" sId="1">
    <nc r="F296" t="inlineStr">
      <is>
        <t>Doméstica</t>
      </is>
    </nc>
  </rcc>
  <rcc rId="3813" sId="1" xfDxf="1" dxf="1">
    <oc r="B296" t="inlineStr">
      <is>
        <r>
          <t xml:space="preserve">DRA ERIKA                           </t>
        </r>
        <r>
          <rPr>
            <b/>
            <sz val="8"/>
            <color rgb="FFFF0000"/>
            <rFont val="Arial"/>
            <family val="2"/>
          </rPr>
          <t>FUNC. DE LICENÇA MATERNIDADE</t>
        </r>
      </is>
    </oc>
    <nc r="B296" t="inlineStr">
      <is>
        <t>ERIKA LAWALL LOPES RAMOS</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rc rId="3814" sId="2" ref="A427:XFD427" action="insertRow">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13" sId="1"/>
    <undo index="2" exp="area" ref3D="1" dr="B$1:B$1048576" r="C412" sId="1"/>
    <undo index="2" exp="area" ref3D="1" dr="B$1:B$1048576" r="C411" sId="1"/>
    <undo index="2" exp="area" ref3D="1" dr="B$1:B$1048576" r="C410"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3" sId="1"/>
    <undo index="2" exp="area" ref3D="1" dr="B$1:B$1048576" r="C399" sId="1"/>
    <undo index="2" exp="area" ref3D="1" dr="B$1:B$1048576" r="C398"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3815" sId="2">
    <nc r="A427">
      <v>780</v>
    </nc>
  </rcc>
  <rcc rId="3816" sId="2" xfDxf="1" dxf="1">
    <nc r="B427" t="inlineStr">
      <is>
        <t>ERIKA LAWALL LOPES RAMOS</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m rId="3817" sheetId="2" source="E296" destination="C427" sourceSheetId="1">
    <rfmt sheetId="2" sqref="C427" start="0" length="0">
      <dxf>
        <font>
          <sz val="10"/>
          <color auto="1"/>
          <name val="Calibri"/>
          <scheme val="minor"/>
        </font>
        <alignment vertical="center" wrapText="1" readingOrder="0"/>
        <border outline="0">
          <left style="thin">
            <color indexed="64"/>
          </left>
          <right style="thin">
            <color indexed="64"/>
          </right>
          <top style="thin">
            <color indexed="64"/>
          </top>
          <bottom style="thin">
            <color indexed="64"/>
          </bottom>
        </border>
      </dxf>
    </rfmt>
  </rm>
  <rfmt sheetId="2" sqref="C427">
    <dxf>
      <alignment vertical="top" readingOrder="0"/>
    </dxf>
  </rfmt>
  <rfmt sheetId="2" sqref="C427">
    <dxf>
      <alignment horizontal="left" readingOrder="0"/>
    </dxf>
  </rfmt>
  <rfmt sheetId="2" sqref="C427" start="0" length="2147483647">
    <dxf>
      <font>
        <color theme="1"/>
      </font>
    </dxf>
  </rfmt>
  <rfmt sheetId="2" sqref="C427" start="0" length="2147483647">
    <dxf>
      <font>
        <u val="none"/>
      </font>
    </dxf>
  </rfmt>
  <rfmt sheetId="2" sqref="C427" start="0" length="2147483647">
    <dxf>
      <font>
        <color rgb="FFFF0000"/>
      </font>
    </dxf>
  </rfmt>
  <rcv guid="{EA2840B9-4395-4F38-9C2E-B3C8A78F8E87}" action="delete"/>
  <rdn rId="0" localSheetId="2" customView="1" name="Z_EA2840B9_4395_4F38_9C2E_B3C8A78F8E87_.wvu.FilterData" hidden="1" oldHidden="1">
    <formula>Particularidade!$A$1:$D$243</formula>
    <oldFormula>Particularidade!$A$1:$D$243</oldFormula>
  </rdn>
  <rdn rId="0" localSheetId="1" customView="1" name="Z_EA2840B9_4395_4F38_9C2E_B3C8A78F8E87_.wvu.FilterData" hidden="1" oldHidden="1">
    <formula>'Controle Empresas'!$A$1:$M$419</formula>
    <oldFormula>'Controle Empresas'!$A$1:$M$419</oldFormula>
  </rdn>
  <rcv guid="{EA2840B9-4395-4F38-9C2E-B3C8A78F8E87}"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20" sId="1">
    <nc r="F11" t="inlineStr">
      <is>
        <t>Presumido</t>
      </is>
    </nc>
  </rcc>
  <rcc rId="3821" sId="1">
    <oc r="A185">
      <v>504</v>
    </oc>
    <nc r="A185"/>
  </rcc>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55" sId="1">
    <oc r="M2" t="inlineStr">
      <is>
        <t>sind: Federação do comércio  data base: Janeiro</t>
      </is>
    </oc>
    <nc r="M2" t="inlineStr">
      <is>
        <t>sim</t>
      </is>
    </nc>
  </rcc>
  <rcc rId="3856" sId="1">
    <nc r="M76" t="inlineStr">
      <is>
        <t xml:space="preserve">sim </t>
      </is>
    </nc>
  </rcc>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M76" start="0" length="0">
    <dxf>
      <font>
        <sz val="12"/>
        <name val="Arial"/>
        <scheme val="none"/>
      </font>
      <alignment horizontal="center" vertical="top" readingOrder="0"/>
    </dxf>
  </rfmt>
  <rcc rId="3857" sId="1" odxf="1" dxf="1">
    <oc r="M2" t="inlineStr">
      <is>
        <t>sim</t>
      </is>
    </oc>
    <nc r="M2" t="inlineStr">
      <is>
        <t>SIM</t>
      </is>
    </nc>
    <odxf>
      <font>
        <sz val="9"/>
        <name val="Arial"/>
        <scheme val="none"/>
      </font>
      <alignment horizontal="general" vertical="center" readingOrder="0"/>
      <border outline="0">
        <left style="thin">
          <color indexed="64"/>
        </left>
        <bottom style="thin">
          <color indexed="64"/>
        </bottom>
      </border>
    </odxf>
    <ndxf>
      <font>
        <sz val="12"/>
        <name val="Arial"/>
        <scheme val="none"/>
      </font>
      <alignment horizontal="center" vertical="top" readingOrder="0"/>
      <border outline="0">
        <left/>
        <bottom/>
      </border>
    </ndxf>
  </rcc>
  <rcc rId="3858" sId="1">
    <oc r="M76" t="inlineStr">
      <is>
        <t xml:space="preserve">sim </t>
      </is>
    </oc>
    <nc r="M76" t="inlineStr">
      <is>
        <t>SIM</t>
      </is>
    </nc>
  </rcc>
  <rcc rId="3859" sId="1" odxf="1" dxf="1">
    <oc r="M218" t="inlineStr">
      <is>
        <t xml:space="preserve">sim </t>
      </is>
    </oc>
    <nc r="M218" t="inlineStr">
      <is>
        <t>SIM</t>
      </is>
    </nc>
    <odxf>
      <font>
        <sz val="9"/>
        <name val="Arial"/>
        <scheme val="none"/>
      </font>
      <alignment horizontal="general" vertical="bottom" readingOrder="0"/>
    </odxf>
    <ndxf>
      <font>
        <sz val="12"/>
        <name val="Arial"/>
        <scheme val="none"/>
      </font>
      <alignment horizontal="center" vertical="top" readingOrder="0"/>
    </ndxf>
  </rcc>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0" sId="1" odxf="1" dxf="1">
    <nc r="M366" t="inlineStr">
      <is>
        <t>SIM</t>
      </is>
    </nc>
    <odxf>
      <font>
        <sz val="9"/>
        <name val="Arial"/>
        <scheme val="none"/>
      </font>
      <alignment horizontal="general" vertical="bottom" readingOrder="0"/>
    </odxf>
    <ndxf>
      <font>
        <sz val="12"/>
        <name val="Arial"/>
        <scheme val="none"/>
      </font>
      <alignment horizontal="center" vertical="top" readingOrder="0"/>
    </ndxf>
  </rcc>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1" sId="1">
    <oc r="M3" t="inlineStr">
      <is>
        <t xml:space="preserve">sind:Engenheiros mg  data base: Abril  PRESUMIDO </t>
      </is>
    </oc>
    <nc r="M3"/>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Empresas'!$C:$F,'Controle Empresas'!$M:$M</oldFormula>
  </rdn>
  <rdn rId="0" localSheetId="1" customView="1" name="Z_DAEEB123_9C5D_4BF0_8F09_E7DEBC62D826_.wvu.FilterData" hidden="1" oldHidden="1">
    <formula>'Controle Empresas'!$A$1:$M$419</formula>
    <oldFormula>'Controle Empresas'!$A$1:$M$419</oldFormula>
  </rdn>
  <rcv guid="{DAEEB123-9C5D-4BF0-8F09-E7DEBC62D826}"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5" sId="1">
    <nc r="M315" t="inlineStr">
      <is>
        <t xml:space="preserve">SIM </t>
      </is>
    </nc>
  </rcc>
  <rcc rId="3866" sId="1">
    <nc r="M316" t="inlineStr">
      <is>
        <t xml:space="preserve">SIM </t>
      </is>
    </nc>
  </rcc>
  <rfmt sheetId="1" sqref="M315:M316">
    <dxf>
      <alignment horizontal="center" readingOrder="0"/>
    </dxf>
  </rfmt>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7" sId="1">
    <oc r="L2" t="inlineStr">
      <is>
        <r>
          <t xml:space="preserve">Folha e Pro Labore (   ) (  ) IRF 
INSS (   )  FGTS e GFIP (   )
 Tem Bienio ( ) Passou para sindicato da Federacao do comercio ( </t>
        </r>
        <r>
          <rPr>
            <sz val="9"/>
            <color rgb="FFFF0000"/>
            <rFont val="Arial"/>
            <family val="2"/>
          </rPr>
          <t>FAZER REAJUSTE SALARIAL NA COMP 02/2019 CONFORME O SALARIO MINIMO</t>
        </r>
      </is>
    </oc>
    <nc r="L2" t="inlineStr">
      <is>
        <r>
          <t xml:space="preserve">Folha e Pro Labore (   ) (  ) IRF </t>
        </r>
        <r>
          <rPr>
            <sz val="9"/>
            <color rgb="FF7030A0"/>
            <rFont val="Arial"/>
            <family val="2"/>
          </rPr>
          <t>( ) PARCELAMENTO FGTS</t>
        </r>
        <r>
          <rPr>
            <sz val="9"/>
            <rFont val="Arial"/>
            <family val="2"/>
          </rPr>
          <t xml:space="preserve">
INSS (   )  FGTS e GFIP (   )
 Tem Bienio ( ) Passou para sindicato da Federacao do comercio ( </t>
        </r>
        <r>
          <rPr>
            <sz val="9"/>
            <color rgb="FFFF0000"/>
            <rFont val="Arial"/>
            <family val="2"/>
          </rPr>
          <t>FAZER REAJUSTE SALARIAL NA COMP 02/2019 CONFORME O SALARIO MINIMO</t>
        </r>
      </is>
    </nc>
  </rcc>
  <rcc rId="3868" sId="1">
    <oc r="L39" t="inlineStr">
      <is>
        <r>
          <t xml:space="preserve">Folha (   )
INSS (   )
FGTS e GFIP (   )
</t>
        </r>
        <r>
          <rPr>
            <b/>
            <sz val="9"/>
            <color rgb="FFFF0000"/>
            <rFont val="Arial"/>
            <family val="2"/>
          </rPr>
          <t>Recibo complementar de limpeza para funcionária.</t>
        </r>
      </is>
    </oc>
    <nc r="L39" t="inlineStr">
      <is>
        <r>
          <t xml:space="preserve">Folha (   )      </t>
        </r>
        <r>
          <rPr>
            <b/>
            <sz val="9"/>
            <rFont val="Arial"/>
            <family val="2"/>
          </rPr>
          <t xml:space="preserve">  </t>
        </r>
        <r>
          <rPr>
            <b/>
            <sz val="9"/>
            <color rgb="FF7030A0"/>
            <rFont val="Arial"/>
            <family val="2"/>
          </rPr>
          <t>PARCELAMENTO FGTS (  )</t>
        </r>
        <r>
          <rPr>
            <sz val="9"/>
            <rFont val="Arial"/>
            <family val="2"/>
          </rPr>
          <t xml:space="preserve">
INSS (   )
FGTS e GFIP (   )
</t>
        </r>
        <r>
          <rPr>
            <b/>
            <sz val="9"/>
            <color rgb="FFFF0000"/>
            <rFont val="Arial"/>
            <family val="2"/>
          </rPr>
          <t>Recibo complementar de limpeza para funcionária.</t>
        </r>
      </is>
    </nc>
  </rcc>
  <rcc rId="3869" sId="1">
    <oc r="L48" t="inlineStr">
      <is>
        <r>
          <t xml:space="preserve">Folha e Pro labore (   ) INSS (     )    IRRF (     )
FGTS e GFIP (   )
</t>
        </r>
        <r>
          <rPr>
            <sz val="9"/>
            <color rgb="FFFF0000"/>
            <rFont val="Arial"/>
            <family val="2"/>
          </rPr>
          <t>Tem Plano de Saúde (desconta apenas dependente); socia Cristiane multipos vinculos; e funcionario tem produtividade.</t>
        </r>
      </is>
    </oc>
    <nc r="L48" t="inlineStr">
      <is>
        <r>
          <t xml:space="preserve">Folha e Pro labore (   ) INSS (     )    IRRF (     )
FGTS e GFIP (   )   PARCELAMENTO FGTS (    )
</t>
        </r>
        <r>
          <rPr>
            <sz val="9"/>
            <color rgb="FFFF0000"/>
            <rFont val="Arial"/>
            <family val="2"/>
          </rPr>
          <t>Tem Plano de Saúde (desconta apenas dependente); socia Cristiane multipos vinculos; e funcionario tem produtividade.</t>
        </r>
      </is>
    </nc>
  </rcc>
  <rcc rId="3870" sId="1">
    <oc r="L47" t="inlineStr">
      <is>
        <t>Folha  (   )
INSS (   )
FGTS e GFIP (   )</t>
      </is>
    </oc>
    <nc r="L47" t="inlineStr">
      <is>
        <r>
          <t xml:space="preserve">Folha  (   )  </t>
        </r>
        <r>
          <rPr>
            <sz val="9"/>
            <color rgb="FF7030A0"/>
            <rFont val="Arial"/>
            <family val="2"/>
          </rPr>
          <t>PARCELAMENTO FGTS ( )</t>
        </r>
        <r>
          <rPr>
            <sz val="9"/>
            <rFont val="Arial"/>
            <family val="2"/>
          </rPr>
          <t xml:space="preserve">
INSS (   )
FGTS e GFIP (   )</t>
        </r>
      </is>
    </nc>
  </rcc>
  <rcc rId="3871" sId="1">
    <oc r="L72" t="inlineStr">
      <is>
        <t xml:space="preserve">Folha e Pro labore (   )
INSS (   )
FGTS e GFIP (   )
</t>
      </is>
    </oc>
    <nc r="L72" t="inlineStr">
      <is>
        <t xml:space="preserve">Folha e Pro labore (   )
INSS (   )   PARCELAMENTO FGTS (    )
FGTS e GFIP (   )
</t>
      </is>
    </nc>
  </rcc>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72" sId="1">
    <nc r="M210" t="inlineStr">
      <is>
        <t>SIM</t>
      </is>
    </nc>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73" sId="1">
    <oc r="L94" t="inlineStr">
      <is>
        <t xml:space="preserve">Folha e Pro labore (   )
INSS (   )
FGTS e GFIP (   )
</t>
      </is>
    </oc>
    <nc r="L94" t="inlineStr">
      <is>
        <t xml:space="preserve">Folha e Pro labore (   )
INSS (    )       PARCELAMENTO FGTS (    )
FGTS e GFIP (   )
</t>
      </is>
    </nc>
  </rcc>
  <rcc rId="3874" sId="1">
    <oc r="L191" t="inlineStr">
      <is>
        <t xml:space="preserve">Folha e Pro labore (   )    
INSS (   )
FGTS e GFIP (   )                                                                                                                                         </t>
      </is>
    </oc>
    <nc r="L191" t="inlineStr">
      <is>
        <t xml:space="preserve">Folha e Pro labore (   )    
INSS (   )  PARCELAMENTO FGTS (    )
FGTS e GFIP (   )                                                                                                                                         </t>
      </is>
    </nc>
  </rcc>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75" sId="1">
    <nc r="M107" t="inlineStr">
      <is>
        <t>SIM</t>
      </is>
    </nc>
  </rcc>
  <rcc rId="3876" sId="1">
    <nc r="M204" t="inlineStr">
      <is>
        <t>SIM</t>
      </is>
    </nc>
  </rcc>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77" sId="1">
    <nc r="M146" t="inlineStr">
      <is>
        <t>SIM</t>
      </is>
    </nc>
  </rcc>
  <rfmt sheetId="1" sqref="M147">
    <dxf>
      <alignment horizontal="center" readingOrder="0"/>
    </dxf>
  </rfmt>
  <rfmt sheetId="1" sqref="M146">
    <dxf>
      <alignment horizontal="center" readingOrder="0"/>
    </dxf>
  </rfmt>
  <rcc rId="3878" sId="1">
    <nc r="M195" t="inlineStr">
      <is>
        <t>SIM</t>
      </is>
    </nc>
  </rcc>
  <rfmt sheetId="1" sqref="M195">
    <dxf>
      <alignment horizontal="center" readingOrder="0"/>
    </dxf>
  </rfmt>
  <rcc rId="3879" sId="1">
    <nc r="M299" t="inlineStr">
      <is>
        <t>SIM</t>
      </is>
    </nc>
  </rcc>
  <rfmt sheetId="1" sqref="M299">
    <dxf>
      <alignment horizontal="center" readingOrder="0"/>
    </dxf>
  </rfmt>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0" sId="1">
    <oc r="L58" t="inlineStr">
      <is>
        <t xml:space="preserve">Folha e Pro labore (   ) 
INSS (   )
FGTS e GFIP (   )                                                                                                Tem vale Transporte  2vt de seg a sex                                                           </t>
      </is>
    </oc>
    <nc r="L58" t="inlineStr">
      <is>
        <r>
          <t xml:space="preserve">Folha e Pro labore (   ) 
INSS (   ) </t>
        </r>
        <r>
          <rPr>
            <b/>
            <sz val="9"/>
            <rFont val="Arial"/>
            <family val="2"/>
          </rPr>
          <t xml:space="preserve"> NÃO </t>
        </r>
        <r>
          <rPr>
            <sz val="9"/>
            <rFont val="Arial"/>
            <family val="2"/>
          </rPr>
          <t xml:space="preserve">VAI QUERER O PARCELAMENTO FGTS (  )
FGTS e GFIP (   )                                                                                                Tem vale Transporte  2vt de seg a sex                                                           </t>
        </r>
      </is>
    </nc>
  </rcc>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881" sId="1" ref="A330:XFD330" action="delete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FB7C661_5C1D_4491_B5BB_D24125818F62_.wvu.Cols" sId="1"/>
    <undo index="0" exp="area" ref3D="1" dr="$C$1:$F$1048576" dn="Z_DAEEB123_9C5D_4BF0_8F09_E7DEBC62D826_.wvu.Cols" sId="1"/>
    <undo index="2" exp="area" ref3D="1" dr="$M$1:$M$1048576" dn="Z_590CEBDA_E7AE_4D8D_8613_56208662CCA9_.wvu.Cols" sId="1"/>
    <undo index="1" exp="area" ref3D="1" dr="$C$1:$F$1048576" dn="Z_590CEBDA_E7AE_4D8D_8613_56208662CCA9_.wvu.Cols" sId="1"/>
    <undo index="0" exp="area" ref3D="1" dr="$C$1:$F$1048576" dn="Z_3BCABC4F_4072_4ED9_90CC_E9BE96773387_.wvu.Cols" sId="1"/>
    <rfmt sheetId="1" xfDxf="1" sqref="A330:XFD330" start="0" length="0">
      <dxf>
        <font>
          <sz val="8"/>
          <name val="Arial"/>
          <scheme val="none"/>
        </font>
      </dxf>
    </rfmt>
    <rcc rId="0" sId="1" dxf="1">
      <nc r="A330">
        <v>767</v>
      </nc>
      <ndxf>
        <font>
          <sz val="8"/>
          <color auto="1"/>
          <name val="Arial"/>
          <scheme val="minor"/>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0" sId="1" dxf="1">
      <nc r="B330" t="inlineStr">
        <is>
          <t>CH. VIDON</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0" sId="1" s="1" dxf="1">
      <nc r="C330">
        <f>HYPERLINK("#Particularidade!"&amp;ADDRESS(MATCH(B330,Particularidade!B:B,0),2),"Ir para particularidadedes")</f>
      </nc>
      <ndxf>
        <font>
          <u/>
          <sz val="10"/>
          <color theme="10"/>
          <name val="Arial"/>
          <scheme val="none"/>
        </font>
        <alignment horizontal="center" vertical="center" readingOrder="0"/>
        <border outline="0">
          <left style="thin">
            <color indexed="64"/>
          </left>
          <right style="thin">
            <color indexed="64"/>
          </right>
          <bottom style="thin">
            <color indexed="64"/>
          </bottom>
        </border>
      </ndxf>
    </rcc>
    <rcc rId="0" sId="1" s="1" dxf="1">
      <nc r="D330" t="inlineStr">
        <is>
          <t>07.801.908/0001-43</t>
        </is>
      </nc>
      <n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ndxf>
    </rcc>
    <rcc rId="0" sId="1" s="1" dxf="1">
      <nc r="E330" t="inlineStr">
        <is>
          <t>Data base: abril</t>
        </is>
      </nc>
      <n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ndxf>
    </rcc>
    <rcc rId="0" sId="1" s="1" dxf="1">
      <nc r="F330" t="inlineStr">
        <is>
          <t>Presumido</t>
        </is>
      </nc>
      <ndxf>
        <font>
          <u/>
          <sz val="10"/>
          <color theme="10"/>
          <name val="Arial"/>
          <scheme val="none"/>
        </font>
        <alignment horizontal="center" vertical="center" readingOrder="0"/>
        <border outline="0">
          <left style="thin">
            <color indexed="64"/>
          </left>
          <right style="thin">
            <color indexed="64"/>
          </right>
          <top style="thin">
            <color indexed="64"/>
          </top>
        </border>
      </ndxf>
    </rcc>
    <rcc rId="0" sId="1" dxf="1">
      <nc r="G330" t="inlineStr">
        <is>
          <t>FABI</t>
        </is>
      </nc>
      <ndxf>
        <font>
          <sz val="8"/>
          <color auto="1"/>
          <name val="Arial"/>
          <scheme val="none"/>
        </font>
        <fill>
          <patternFill patternType="solid">
            <bgColor rgb="FF00B0F0"/>
          </patternFill>
        </fill>
        <alignment horizontal="center" vertical="center" wrapText="1" readingOrder="0"/>
        <border outline="0">
          <left style="thin">
            <color indexed="64"/>
          </left>
          <right style="thin">
            <color indexed="64"/>
          </right>
          <top style="thin">
            <color indexed="64"/>
          </top>
        </border>
      </ndxf>
    </rcc>
    <rcc rId="0" sId="1" dxf="1">
      <nc r="H330" t="inlineStr">
        <is>
          <t>S</t>
        </is>
      </nc>
      <ndxf>
        <font>
          <sz val="8"/>
          <color auto="1"/>
          <name val="Arial"/>
          <scheme val="none"/>
        </font>
        <fill>
          <patternFill patternType="solid">
            <bgColor theme="0"/>
          </patternFill>
        </fill>
        <alignment horizontal="center" vertical="center" wrapText="1" shrinkToFit="1" readingOrder="0"/>
        <border outline="0">
          <left style="thin">
            <color indexed="64"/>
          </left>
          <right style="thin">
            <color indexed="64"/>
          </right>
          <top style="thin">
            <color indexed="64"/>
          </top>
          <bottom style="thin">
            <color indexed="64"/>
          </bottom>
        </border>
      </ndxf>
    </rcc>
    <rcc rId="0" sId="1" dxf="1">
      <nc r="I330">
        <v>24</v>
      </nc>
      <ndxf>
        <font>
          <sz val="8"/>
          <color auto="1"/>
          <name val="Arial"/>
          <scheme val="none"/>
        </font>
        <fill>
          <patternFill patternType="solid">
            <bgColor theme="0"/>
          </patternFill>
        </fill>
        <alignment horizontal="center" vertical="center" wrapText="1" shrinkToFit="1" readingOrder="0"/>
        <border outline="0">
          <left style="thin">
            <color indexed="64"/>
          </left>
          <right style="thin">
            <color indexed="64"/>
          </right>
          <top style="thin">
            <color indexed="64"/>
          </top>
          <bottom style="thin">
            <color indexed="64"/>
          </bottom>
        </border>
      </ndxf>
    </rcc>
    <rcc rId="0" sId="1" dxf="1">
      <nc r="J330">
        <v>5</v>
      </nc>
      <ndxf>
        <font>
          <sz val="8"/>
          <color auto="1"/>
          <name val="Arial"/>
          <scheme val="none"/>
        </font>
        <fill>
          <patternFill patternType="solid">
            <bgColor theme="0"/>
          </patternFill>
        </fill>
        <alignment horizontal="center" vertical="center" wrapText="1" shrinkToFit="1" readingOrder="0"/>
        <border outline="0">
          <left style="thin">
            <color indexed="64"/>
          </left>
          <right style="thin">
            <color indexed="64"/>
          </right>
          <top style="thin">
            <color indexed="64"/>
          </top>
          <bottom style="thin">
            <color indexed="64"/>
          </bottom>
        </border>
      </ndxf>
    </rcc>
    <rcc rId="0" sId="1" dxf="1">
      <nc r="K330" t="inlineStr">
        <is>
          <t>SITE</t>
        </is>
      </nc>
      <ndxf>
        <font>
          <sz val="8"/>
          <color auto="1"/>
          <name val="Arial"/>
          <scheme val="none"/>
        </font>
        <fill>
          <patternFill patternType="solid">
            <bgColor theme="0" tint="-0.249977111117893"/>
          </patternFill>
        </fill>
        <alignment horizontal="center" vertical="center" wrapText="1" shrinkToFit="1" readingOrder="0"/>
        <border outline="0">
          <left style="thin">
            <color indexed="64"/>
          </left>
          <right style="thin">
            <color indexed="64"/>
          </right>
          <top style="thin">
            <color indexed="64"/>
          </top>
          <bottom style="thin">
            <color indexed="64"/>
          </bottom>
        </border>
      </ndxf>
    </rcc>
    <rcc rId="0" sId="1" dxf="1">
      <nc r="L330" t="inlineStr">
        <is>
          <t>Pro labore (   )   Recibo mensal  (    )
INSS (   ) Adiantamento (      )
GFIP - Tem retenção na nota (   )    (   ) Folha Analitica    (     )  Sefip  (     ) Caged</t>
        </is>
      </nc>
      <n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fmt sheetId="1" sqref="M330" start="0" length="0">
      <dxf>
        <font>
          <sz val="12"/>
          <name val="Arial"/>
          <scheme val="none"/>
        </font>
        <alignment horizontal="center" vertical="top" readingOrder="0"/>
      </dxf>
    </rfmt>
  </rrc>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2" sId="1">
    <nc r="M285" t="inlineStr">
      <is>
        <t>NÃO</t>
      </is>
    </nc>
  </rcc>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3" sId="1">
    <nc r="M345" t="inlineStr">
      <is>
        <t xml:space="preserve">SIM </t>
      </is>
    </nc>
  </rcc>
  <rfmt sheetId="1" sqref="M345">
    <dxf>
      <alignment horizontal="center" readingOrder="0"/>
    </dxf>
  </rfmt>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4" sId="1">
    <nc r="M58" t="inlineStr">
      <is>
        <t>NÂO</t>
      </is>
    </nc>
  </rcc>
  <rfmt sheetId="1" sqref="M58">
    <dxf>
      <alignment horizontal="center" readingOrder="0"/>
    </dxf>
  </rfmt>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02" sId="1">
    <oc r="L372" t="inlineStr">
      <is>
        <t xml:space="preserve">Folha e Pro labore (   )                                
INSS (   )
GFIP (  ) (   ) BOLETO VT
</t>
      </is>
    </oc>
    <nc r="L372" t="inlineStr">
      <is>
        <r>
          <t xml:space="preserve">Folha e Pro labore (   )                                
INSS (   ) </t>
        </r>
        <r>
          <rPr>
            <b/>
            <sz val="9"/>
            <rFont val="Arial"/>
            <family val="2"/>
          </rPr>
          <t xml:space="preserve"> NÃO PARCELAMENTO FGTS </t>
        </r>
        <r>
          <rPr>
            <sz val="9"/>
            <rFont val="Arial"/>
            <family val="2"/>
          </rPr>
          <t xml:space="preserve">
GFIP (  ) (   ) BOLETO VT
</t>
        </r>
      </is>
    </nc>
  </rcc>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03" sId="1">
    <nc r="M367" t="inlineStr">
      <is>
        <t>SIM</t>
      </is>
    </nc>
  </rcc>
  <rcc rId="3904" sId="1">
    <nc r="M368" t="inlineStr">
      <is>
        <t>SIM</t>
      </is>
    </nc>
  </rcc>
  <rcc rId="3905" sId="1">
    <nc r="M370" t="inlineStr">
      <is>
        <t>SIM</t>
      </is>
    </nc>
  </rcc>
  <rcc rId="3906" sId="1">
    <nc r="M360" t="inlineStr">
      <is>
        <t>Lsmart</t>
      </is>
    </nc>
  </rcc>
  <rcc rId="3907" sId="1">
    <nc r="M154" t="inlineStr">
      <is>
        <t>SIM</t>
      </is>
    </nc>
  </rcc>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08" sId="1">
    <oc r="M360" t="inlineStr">
      <is>
        <t>Lsmart</t>
      </is>
    </oc>
    <nc r="M360" t="inlineStr">
      <is>
        <t>SIM</t>
      </is>
    </nc>
  </rcc>
  <rcc rId="3909" sId="1">
    <nc r="M350" t="inlineStr">
      <is>
        <t>NÃO</t>
      </is>
    </nc>
  </rcc>
  <rcv guid="{3BCABC4F-4072-4ED9-90CC-E9BE96773387}" action="delete"/>
  <rdn rId="0" localSheetId="2" customView="1" name="Z_3BCABC4F_4072_4ED9_90CC_E9BE96773387_.wvu.FilterData" hidden="1" oldHidden="1">
    <formula>Particularidade!$A$1:$D$244</formula>
    <oldFormula>Particularidade!$A$1:$D$244</oldFormula>
  </rdn>
  <rdn rId="0" localSheetId="1" customView="1" name="Z_3BCABC4F_4072_4ED9_90CC_E9BE96773387_.wvu.Cols" hidden="1" oldHidden="1">
    <formula>'Controle Empresas'!$C:$F</formula>
    <oldFormula>'Controle Empresas'!$C:$F</oldFormula>
  </rdn>
  <rdn rId="0" localSheetId="1" customView="1" name="Z_3BCABC4F_4072_4ED9_90CC_E9BE96773387_.wvu.FilterData" hidden="1" oldHidden="1">
    <formula>'Controle Empresas'!$A$1:$M$418</formula>
    <oldFormula>'Controle Empresas'!$A$1:$M$418</oldFormula>
  </rdn>
  <rcv guid="{3BCABC4F-4072-4ED9-90CC-E9BE96773387}"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13" sId="1">
    <nc r="M281" t="inlineStr">
      <is>
        <t>SIM</t>
      </is>
    </nc>
  </rcc>
  <rcc rId="3914" sId="1">
    <nc r="M227" t="inlineStr">
      <is>
        <t>SIM</t>
      </is>
    </nc>
  </rcc>
  <rcc rId="3915" sId="1">
    <nc r="M335" t="inlineStr">
      <is>
        <t>SIM</t>
      </is>
    </nc>
  </rcc>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916" sId="1" ref="K1:K1048576" action="insertCol">
    <undo index="2" exp="area" ref3D="1" dr="$M$1:$M$1048576" dn="Z_590CEBDA_E7AE_4D8D_8613_56208662CCA9_.wvu.Cols" sId="1"/>
  </rrc>
  <rcc rId="3917" sId="1">
    <nc r="K1" t="inlineStr">
      <is>
        <t xml:space="preserve">Automatico </t>
      </is>
    </nc>
  </rcc>
  <rcc rId="3918" sId="1">
    <nc r="K2" t="inlineStr">
      <is>
        <t xml:space="preserve">SIM </t>
      </is>
    </nc>
  </rcc>
  <rcc rId="3919" sId="1">
    <nc r="K5" t="inlineStr">
      <is>
        <t xml:space="preserve">SIM </t>
      </is>
    </nc>
  </rcc>
  <rcc rId="3920" sId="1">
    <nc r="K18" t="inlineStr">
      <is>
        <t xml:space="preserve">NÃO </t>
      </is>
    </nc>
  </rcc>
  <rcc rId="3921" sId="1">
    <nc r="K28" t="inlineStr">
      <is>
        <t xml:space="preserve">NÃO </t>
      </is>
    </nc>
  </rcc>
  <rcc rId="3922" sId="1">
    <nc r="K32" t="inlineStr">
      <is>
        <t xml:space="preserve">SIM </t>
      </is>
    </nc>
  </rcc>
  <rcc rId="3923" sId="1">
    <nc r="K37" t="inlineStr">
      <is>
        <t xml:space="preserve">SIM </t>
      </is>
    </nc>
  </rcc>
  <rcc rId="3924" sId="1">
    <nc r="K38" t="inlineStr">
      <is>
        <t xml:space="preserve">NÃO </t>
      </is>
    </nc>
  </rcc>
  <rcc rId="3925" sId="1">
    <nc r="K39" t="inlineStr">
      <is>
        <t xml:space="preserve">SIM </t>
      </is>
    </nc>
  </rcc>
  <rcc rId="3926" sId="1">
    <nc r="K40" t="inlineStr">
      <is>
        <t xml:space="preserve">NÃO </t>
      </is>
    </nc>
  </rcc>
  <rcc rId="3927" sId="1">
    <nc r="K47" t="inlineStr">
      <is>
        <t xml:space="preserve">SIM </t>
      </is>
    </nc>
  </rcc>
  <rcc rId="3928" sId="1">
    <nc r="K48" t="inlineStr">
      <is>
        <t xml:space="preserve">SIM </t>
      </is>
    </nc>
  </rcc>
  <rcc rId="3929" sId="1">
    <nc r="K58" t="inlineStr">
      <is>
        <t xml:space="preserve">SIM </t>
      </is>
    </nc>
  </rcc>
  <rcc rId="3930" sId="1">
    <nc r="K65" t="inlineStr">
      <is>
        <t xml:space="preserve">NÃO </t>
      </is>
    </nc>
  </rcc>
  <rcc rId="3931" sId="1">
    <nc r="K70" t="inlineStr">
      <is>
        <t xml:space="preserve">NÃO </t>
      </is>
    </nc>
  </rcc>
  <rcc rId="3932" sId="1">
    <nc r="K72" t="inlineStr">
      <is>
        <t xml:space="preserve">SIM </t>
      </is>
    </nc>
  </rcc>
  <rcc rId="3933" sId="1">
    <nc r="K76" t="inlineStr">
      <is>
        <t xml:space="preserve">NÃO </t>
      </is>
    </nc>
  </rcc>
  <rcc rId="3934" sId="1">
    <nc r="K79" t="inlineStr">
      <is>
        <t xml:space="preserve">NÃO </t>
      </is>
    </nc>
  </rcc>
  <rcc rId="3935" sId="1">
    <nc r="K81" t="inlineStr">
      <is>
        <t xml:space="preserve">NÃO </t>
      </is>
    </nc>
  </rcc>
  <rcc rId="3936" sId="1">
    <nc r="K83" t="inlineStr">
      <is>
        <t xml:space="preserve">SIM </t>
      </is>
    </nc>
  </rcc>
  <rcc rId="3937" sId="1">
    <nc r="K84" t="inlineStr">
      <is>
        <t xml:space="preserve">NÃO </t>
      </is>
    </nc>
  </rcc>
  <rcc rId="3938" sId="1">
    <nc r="K87" t="inlineStr">
      <is>
        <t xml:space="preserve">SIM </t>
      </is>
    </nc>
  </rcc>
  <rcc rId="3939" sId="1">
    <nc r="K106" t="inlineStr">
      <is>
        <t xml:space="preserve">SIM </t>
      </is>
    </nc>
  </rcc>
  <rcc rId="3940" sId="1">
    <nc r="K114" t="inlineStr">
      <is>
        <t xml:space="preserve">SIM </t>
      </is>
    </nc>
  </rcc>
  <rcc rId="3941" sId="1">
    <nc r="K124" t="inlineStr">
      <is>
        <t xml:space="preserve">SIM </t>
      </is>
    </nc>
  </rcc>
  <rcc rId="3942" sId="1">
    <nc r="K140" t="inlineStr">
      <is>
        <t xml:space="preserve">SIM </t>
      </is>
    </nc>
  </rcc>
  <rcc rId="3943" sId="1">
    <nc r="K152" t="inlineStr">
      <is>
        <t xml:space="preserve">SIM </t>
      </is>
    </nc>
  </rcc>
  <rcc rId="3944" sId="1">
    <nc r="K156" t="inlineStr">
      <is>
        <t xml:space="preserve">SIM </t>
      </is>
    </nc>
  </rcc>
  <rcc rId="3945" sId="1">
    <nc r="K160" t="inlineStr">
      <is>
        <t xml:space="preserve">NÃO </t>
      </is>
    </nc>
  </rcc>
  <rcc rId="3946" sId="1">
    <nc r="K162" t="inlineStr">
      <is>
        <t xml:space="preserve">NÃO </t>
      </is>
    </nc>
  </rcc>
  <rcc rId="3947" sId="1">
    <nc r="K166" t="inlineStr">
      <is>
        <t xml:space="preserve">NÃO </t>
      </is>
    </nc>
  </rcc>
  <rcc rId="3948" sId="1">
    <nc r="K167" t="inlineStr">
      <is>
        <t xml:space="preserve">NÃO </t>
      </is>
    </nc>
  </rcc>
  <rcc rId="3949" sId="1">
    <nc r="K168" t="inlineStr">
      <is>
        <t xml:space="preserve">NÃO </t>
      </is>
    </nc>
  </rcc>
  <rcc rId="3950" sId="1">
    <nc r="K169" t="inlineStr">
      <is>
        <t xml:space="preserve">NÃO </t>
      </is>
    </nc>
  </rcc>
  <rcc rId="3951" sId="1">
    <nc r="K170" t="inlineStr">
      <is>
        <t xml:space="preserve">NÃO </t>
      </is>
    </nc>
  </rcc>
  <rcc rId="3952" sId="1">
    <nc r="K172" t="inlineStr">
      <is>
        <t xml:space="preserve">NÃO </t>
      </is>
    </nc>
  </rcc>
  <rcc rId="3953" sId="1">
    <nc r="K174" t="inlineStr">
      <is>
        <t xml:space="preserve">NÃO </t>
      </is>
    </nc>
  </rcc>
  <rcc rId="3954" sId="1">
    <nc r="K178" t="inlineStr">
      <is>
        <t xml:space="preserve">NÃO </t>
      </is>
    </nc>
  </rcc>
  <rcc rId="3955" sId="1">
    <nc r="K179" t="inlineStr">
      <is>
        <t xml:space="preserve">SIM </t>
      </is>
    </nc>
  </rcc>
  <rcc rId="3956" sId="1">
    <nc r="K180" t="inlineStr">
      <is>
        <t xml:space="preserve">NÃO </t>
      </is>
    </nc>
  </rcc>
  <rcc rId="3957" sId="1">
    <nc r="K191" t="inlineStr">
      <is>
        <t xml:space="preserve">SIM </t>
      </is>
    </nc>
  </rcc>
  <rcc rId="3958" sId="1">
    <nc r="K198" t="inlineStr">
      <is>
        <t xml:space="preserve">NÃO </t>
      </is>
    </nc>
  </rcc>
  <rcc rId="3959" sId="1">
    <nc r="K200" t="inlineStr">
      <is>
        <t xml:space="preserve">SIM </t>
      </is>
    </nc>
  </rcc>
  <rcc rId="3960" sId="1">
    <nc r="K205" t="inlineStr">
      <is>
        <t xml:space="preserve">NÃO </t>
      </is>
    </nc>
  </rcc>
  <rfmt sheetId="1" sqref="G205" start="0" length="0">
    <dxf>
      <font>
        <sz val="9"/>
        <color auto="1"/>
        <name val="Arial"/>
        <scheme val="none"/>
      </font>
      <fill>
        <patternFill>
          <bgColor theme="7"/>
        </patternFill>
      </fill>
    </dxf>
  </rfmt>
  <rcc rId="3961" sId="1">
    <nc r="K213" t="inlineStr">
      <is>
        <t xml:space="preserve">NÃO </t>
      </is>
    </nc>
  </rcc>
  <rcc rId="3962" sId="1">
    <nc r="K218" t="inlineStr">
      <is>
        <t xml:space="preserve">SIM </t>
      </is>
    </nc>
  </rcc>
  <rcc rId="3963" sId="1">
    <nc r="K224" t="inlineStr">
      <is>
        <t xml:space="preserve">NÃO </t>
      </is>
    </nc>
  </rcc>
  <rcc rId="3964" sId="1">
    <nc r="K228" t="inlineStr">
      <is>
        <t xml:space="preserve">NÃO </t>
      </is>
    </nc>
  </rcc>
  <rcc rId="3965" sId="1">
    <nc r="K238" t="inlineStr">
      <is>
        <t xml:space="preserve">SIM </t>
      </is>
    </nc>
  </rcc>
  <rcc rId="3966" sId="1">
    <nc r="K254" t="inlineStr">
      <is>
        <t xml:space="preserve">SIM </t>
      </is>
    </nc>
  </rcc>
  <rcc rId="3967" sId="1">
    <nc r="K247" t="inlineStr">
      <is>
        <t xml:space="preserve">NÃO </t>
      </is>
    </nc>
  </rcc>
  <rcc rId="3968" sId="1">
    <nc r="K263" t="inlineStr">
      <is>
        <t xml:space="preserve">SIM </t>
      </is>
    </nc>
  </rcc>
  <rcc rId="3969" sId="1">
    <nc r="K265" t="inlineStr">
      <is>
        <t xml:space="preserve">NÃO </t>
      </is>
    </nc>
  </rcc>
  <rcc rId="3970" sId="1">
    <nc r="K273" t="inlineStr">
      <is>
        <t xml:space="preserve">NÃO </t>
      </is>
    </nc>
  </rcc>
  <rcc rId="3971" sId="1">
    <nc r="K274" t="inlineStr">
      <is>
        <t xml:space="preserve">SIM </t>
      </is>
    </nc>
  </rcc>
  <rcc rId="3972" sId="1">
    <nc r="K275" t="inlineStr">
      <is>
        <t xml:space="preserve">NÃO </t>
      </is>
    </nc>
  </rcc>
  <rcc rId="3973" sId="1">
    <nc r="K276" t="inlineStr">
      <is>
        <t xml:space="preserve">SIM </t>
      </is>
    </nc>
  </rcc>
  <rcc rId="3974" sId="1">
    <nc r="K290" t="inlineStr">
      <is>
        <t xml:space="preserve">SIM </t>
      </is>
    </nc>
  </rcc>
  <rcc rId="3975" sId="1">
    <nc r="K308" t="inlineStr">
      <is>
        <t xml:space="preserve">NÃO </t>
      </is>
    </nc>
  </rcc>
  <rcc rId="3976" sId="1">
    <nc r="K314" t="inlineStr">
      <is>
        <t xml:space="preserve">NÃO </t>
      </is>
    </nc>
  </rcc>
  <rcc rId="3977" sId="1" odxf="1" dxf="1">
    <nc r="K315" t="inlineStr">
      <is>
        <t xml:space="preserve">NÃO </t>
      </is>
    </nc>
    <odxf>
      <font>
        <sz val="8"/>
        <name val="Arial"/>
        <scheme val="none"/>
      </font>
      <fill>
        <patternFill patternType="none">
          <bgColor indexed="65"/>
        </patternFill>
      </fill>
      <alignment horizontal="general" vertical="top" readingOrder="0"/>
    </odxf>
    <ndxf>
      <font>
        <sz val="9"/>
        <name val="Arial"/>
        <scheme val="none"/>
      </font>
      <fill>
        <patternFill patternType="solid">
          <bgColor theme="0"/>
        </patternFill>
      </fill>
      <alignment horizontal="center" vertical="center" readingOrder="0"/>
    </ndxf>
  </rcc>
  <rcc rId="3978" sId="1" odxf="1" dxf="1">
    <nc r="K316" t="inlineStr">
      <is>
        <t xml:space="preserve">NÃO </t>
      </is>
    </nc>
    <odxf>
      <fill>
        <patternFill patternType="none">
          <bgColor indexed="65"/>
        </patternFill>
      </fill>
      <alignment horizontal="general" vertical="top" readingOrder="0"/>
    </odxf>
    <ndxf>
      <fill>
        <patternFill patternType="solid">
          <bgColor theme="0"/>
        </patternFill>
      </fill>
      <alignment horizontal="center" vertical="center" readingOrder="0"/>
    </ndxf>
  </rcc>
  <rcc rId="3979" sId="1" odxf="1" dxf="1">
    <nc r="K318" t="inlineStr">
      <is>
        <t xml:space="preserve">NÃO </t>
      </is>
    </nc>
    <odxf>
      <fill>
        <patternFill patternType="none">
          <bgColor indexed="65"/>
        </patternFill>
      </fill>
      <alignment horizontal="general" vertical="top" readingOrder="0"/>
    </odxf>
    <ndxf>
      <fill>
        <patternFill patternType="solid">
          <bgColor theme="0"/>
        </patternFill>
      </fill>
      <alignment horizontal="center" vertical="center" readingOrder="0"/>
    </ndxf>
  </rcc>
  <rcc rId="3980" sId="1">
    <nc r="K324" t="inlineStr">
      <is>
        <t xml:space="preserve">SIM </t>
      </is>
    </nc>
  </rcc>
  <rcc rId="3981" sId="1">
    <nc r="K329" t="inlineStr">
      <is>
        <t xml:space="preserve">NÃO </t>
      </is>
    </nc>
  </rcc>
  <rcc rId="3982" sId="1">
    <nc r="K337" t="inlineStr">
      <is>
        <t xml:space="preserve">SIM </t>
      </is>
    </nc>
  </rcc>
  <rcc rId="3983" sId="1">
    <nc r="K338" t="inlineStr">
      <is>
        <t xml:space="preserve">SIM </t>
      </is>
    </nc>
  </rcc>
  <rcc rId="3984" sId="1">
    <nc r="K342" t="inlineStr">
      <is>
        <t xml:space="preserve">SIM </t>
      </is>
    </nc>
  </rcc>
  <rcc rId="3985" sId="1">
    <nc r="K344" t="inlineStr">
      <is>
        <t xml:space="preserve">NÃO </t>
      </is>
    </nc>
  </rcc>
  <rcc rId="3986" sId="1">
    <nc r="K345" t="inlineStr">
      <is>
        <t xml:space="preserve">SIM </t>
      </is>
    </nc>
  </rcc>
  <rcc rId="3987" sId="1">
    <nc r="K352" t="inlineStr">
      <is>
        <t xml:space="preserve">NÃO </t>
      </is>
    </nc>
  </rcc>
  <rcc rId="3988" sId="1">
    <nc r="K357" t="inlineStr">
      <is>
        <t xml:space="preserve">SIM </t>
      </is>
    </nc>
  </rcc>
  <rcc rId="3989" sId="1">
    <nc r="K365" t="inlineStr">
      <is>
        <t xml:space="preserve">NÃO </t>
      </is>
    </nc>
  </rcc>
  <rcc rId="3990" sId="1">
    <nc r="K372" t="inlineStr">
      <is>
        <t xml:space="preserve">SIM </t>
      </is>
    </nc>
  </rcc>
  <rcc rId="3991" sId="1">
    <nc r="K381" t="inlineStr">
      <is>
        <t xml:space="preserve">NÃO </t>
      </is>
    </nc>
  </rcc>
  <rcc rId="3992" sId="1">
    <nc r="K385" t="inlineStr">
      <is>
        <t xml:space="preserve">NÃO </t>
      </is>
    </nc>
  </rcc>
  <rfmt sheetId="1" sqref="G356" start="0" length="0">
    <dxf>
      <font>
        <sz val="9"/>
        <color auto="1"/>
        <name val="Arial"/>
        <scheme val="none"/>
      </font>
      <fill>
        <patternFill>
          <bgColor theme="7"/>
        </patternFill>
      </fill>
    </dxf>
  </rfmt>
  <rfmt sheetId="1" sqref="G385" start="0" length="0">
    <dxf>
      <font>
        <sz val="9"/>
        <color auto="1"/>
        <name val="Arial"/>
        <scheme val="none"/>
      </font>
      <fill>
        <patternFill>
          <bgColor theme="7"/>
        </patternFill>
      </fill>
    </dxf>
  </rfmt>
  <rcc rId="3993" sId="1">
    <nc r="K394" t="inlineStr">
      <is>
        <t xml:space="preserve">NÃO </t>
      </is>
    </nc>
  </rcc>
  <rcc rId="3994" sId="1">
    <nc r="K398" t="inlineStr">
      <is>
        <t xml:space="preserve">NÃO </t>
      </is>
    </nc>
  </rcc>
  <rcc rId="3995" sId="1">
    <nc r="K405" t="inlineStr">
      <is>
        <t xml:space="preserve">SIM </t>
      </is>
    </nc>
  </rcc>
  <rcc rId="3996" sId="1">
    <nc r="K413" t="inlineStr">
      <is>
        <t xml:space="preserve">SIM </t>
      </is>
    </nc>
  </rcc>
  <rcc rId="3997" sId="1">
    <nc r="K414" t="inlineStr">
      <is>
        <t xml:space="preserve">NÃO </t>
      </is>
    </nc>
  </rcc>
  <rcc rId="3998" sId="1">
    <nc r="K415" t="inlineStr">
      <is>
        <t>SIM</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Empresas'!$A$235:$M$419</formula>
    <oldFormula>'Controle Empresas'!$A$235:$M$419</oldFormula>
  </rdn>
  <rdn rId="0" localSheetId="1" customView="1" name="Z_44627F90_111A_4938_A3EC_3F862F83F7D7_.wvu.FilterData" hidden="1" oldHidden="1">
    <formula>'Controle Empresas'!$A$1:$N$418</formula>
    <oldFormula>'Controle Empresas'!$A$1:$N$418</oldFormula>
  </rdn>
  <rcv guid="{44627F90-111A-4938-A3EC-3F862F83F7D7}"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02" sId="1">
    <oc r="I404" t="inlineStr">
      <is>
        <t>PRO-LABORE</t>
      </is>
    </oc>
    <nc r="I404">
      <v>1</v>
    </nc>
  </rcc>
  <rcc rId="4003" sId="1">
    <nc r="H404" t="inlineStr">
      <is>
        <t>S</t>
      </is>
    </nc>
  </rcc>
  <rcc rId="4004" sId="1">
    <nc r="K404" t="inlineStr">
      <is>
        <t xml:space="preserve">NÃO </t>
      </is>
    </nc>
  </rcc>
  <rcc rId="4005" sId="1">
    <nc r="K312" t="inlineStr">
      <is>
        <t xml:space="preserve">SIM </t>
      </is>
    </nc>
  </rcc>
  <rcc rId="4006" sId="1">
    <oc r="K65" t="inlineStr">
      <is>
        <t xml:space="preserve">NÃO </t>
      </is>
    </oc>
    <nc r="K65"/>
  </rcc>
  <rcc rId="4007" sId="1">
    <oc r="K106" t="inlineStr">
      <is>
        <t xml:space="preserve">SIM </t>
      </is>
    </oc>
    <nc r="K106" t="inlineStr">
      <is>
        <t xml:space="preserve">NÃO </t>
      </is>
    </nc>
  </rcc>
  <rcc rId="4008" sId="1">
    <oc r="K247" t="inlineStr">
      <is>
        <t xml:space="preserve">NÃO </t>
      </is>
    </oc>
    <nc r="K247" t="inlineStr">
      <is>
        <t xml:space="preserve">SIM </t>
      </is>
    </nc>
  </rcc>
  <rcc rId="4009" sId="1">
    <oc r="K254" t="inlineStr">
      <is>
        <t xml:space="preserve">SIM </t>
      </is>
    </oc>
    <nc r="K254" t="inlineStr">
      <is>
        <t xml:space="preserve">NÃO </t>
      </is>
    </nc>
  </rcc>
  <rcc rId="4010" sId="1">
    <oc r="K273" t="inlineStr">
      <is>
        <t xml:space="preserve">NÃO </t>
      </is>
    </oc>
    <nc r="K273"/>
  </rcc>
  <rcc rId="4011" sId="1">
    <oc r="H273" t="inlineStr">
      <is>
        <t>S</t>
      </is>
    </oc>
    <nc r="H273"/>
  </rcc>
  <rcc rId="4012" sId="1">
    <oc r="K290" t="inlineStr">
      <is>
        <t xml:space="preserve">SIM </t>
      </is>
    </oc>
    <nc r="K290" t="inlineStr">
      <is>
        <t xml:space="preserve">NÃO </t>
      </is>
    </nc>
  </rcc>
  <rcc rId="4013" sId="1">
    <nc r="K356" t="inlineStr">
      <is>
        <t xml:space="preserve">NÃO </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Empresas'!$A$235:$M$419</formula>
    <oldFormula>'Controle Empresas'!$A$235:$M$419</oldFormula>
  </rdn>
  <rdn rId="0" localSheetId="1" customView="1" name="Z_44627F90_111A_4938_A3EC_3F862F83F7D7_.wvu.FilterData" hidden="1" oldHidden="1">
    <formula>'Controle Empresas'!$A$1:$N$418</formula>
    <oldFormula>'Controle Empresas'!$A$1:$N$418</oldFormula>
  </rdn>
  <rcv guid="{44627F90-111A-4938-A3EC-3F862F83F7D7}" action="add"/>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Empresas'!$A$1:$N$419</formula>
    <oldFormula>'Controle Empresas'!$A$235:$M$419</oldFormula>
  </rdn>
  <rdn rId="0" localSheetId="1" customView="1" name="Z_44627F90_111A_4938_A3EC_3F862F83F7D7_.wvu.FilterData" hidden="1" oldHidden="1">
    <formula>'Controle Empresas'!$A$1:$N$418</formula>
    <oldFormula>'Controle Empresas'!$A$1:$N$418</oldFormula>
  </rdn>
  <rcv guid="{44627F90-111A-4938-A3EC-3F862F83F7D7}"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0" sId="1">
    <nc r="N78" t="inlineStr">
      <is>
        <t>SIM</t>
      </is>
    </nc>
  </rcc>
  <rfmt sheetId="1" sqref="N78">
    <dxf>
      <alignment horizontal="center" readingOrder="0"/>
    </dxf>
  </rfmt>
  <rcc rId="4021" sId="1">
    <nc r="N214" t="inlineStr">
      <is>
        <t>NÃO</t>
      </is>
    </nc>
  </rcc>
  <rfmt sheetId="1" sqref="N214">
    <dxf>
      <alignment horizontal="center" readingOrder="0"/>
    </dxf>
  </rfmt>
  <rcc rId="4022" sId="1">
    <nc r="N278" t="inlineStr">
      <is>
        <t>SIM</t>
      </is>
    </nc>
  </rcc>
  <rfmt sheetId="1" sqref="N278">
    <dxf>
      <alignment horizontal="center" readingOrder="0"/>
    </dxf>
  </rfmt>
  <rcc rId="4023" sId="1">
    <nc r="N279" t="inlineStr">
      <is>
        <t>SIM</t>
      </is>
    </nc>
  </rcc>
  <rfmt sheetId="1" sqref="N279">
    <dxf>
      <alignment horizontal="center" readingOrder="0"/>
    </dxf>
  </rfmt>
  <rcc rId="4024" sId="1">
    <nc r="N257" t="inlineStr">
      <is>
        <t>SIM</t>
      </is>
    </nc>
  </rcc>
  <rfmt sheetId="1" sqref="N257">
    <dxf>
      <alignment horizontal="center" readingOrder="0"/>
    </dxf>
  </rfmt>
  <rcc rId="4025" sId="1">
    <nc r="N260" t="inlineStr">
      <is>
        <t>SIM</t>
      </is>
    </nc>
  </rcc>
  <rfmt sheetId="1" sqref="N260">
    <dxf>
      <alignment horizontal="center" readingOrder="0"/>
    </dxf>
  </rfmt>
  <rcv guid="{DFB7C661-5C1D-4491-B5BB-D24125818F62}" action="delete"/>
  <rdn rId="0" localSheetId="2" customView="1" name="Z_DFB7C661_5C1D_4491_B5BB_D24125818F62_.wvu.FilterData" hidden="1" oldHidden="1">
    <formula>Particularidade!$A$1:$D$244</formula>
    <oldFormula>Particularidade!$A$1:$D$244</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Empresas'!$A$1:$N$418</formula>
    <oldFormula>'Controle Empresas'!$A$1:$N$418</oldFormula>
  </rdn>
  <rcv guid="{DFB7C661-5C1D-4491-B5BB-D24125818F62}"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9" sId="1">
    <oc r="G396" t="inlineStr">
      <is>
        <t>THAI</t>
      </is>
    </oc>
    <nc r="G396" t="inlineStr">
      <is>
        <t>CARL</t>
      </is>
    </nc>
  </rcc>
  <rcc rId="4030" sId="1">
    <oc r="G407" t="inlineStr">
      <is>
        <t>THAI</t>
      </is>
    </oc>
    <nc r="G407" t="inlineStr">
      <is>
        <t>CARL</t>
      </is>
    </nc>
  </rcc>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1" sId="1">
    <oc r="G273" t="inlineStr">
      <is>
        <t>THAI</t>
      </is>
    </oc>
    <nc r="G273" t="inlineStr">
      <is>
        <t>CARL</t>
      </is>
    </nc>
  </rcc>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2" sId="1">
    <oc r="M124" t="inlineStr">
      <is>
        <t xml:space="preserve">Pro labore (   )
INSS (   )
GFIP (   )          VT (     )                    </t>
      </is>
    </oc>
    <nc r="M124" t="inlineStr">
      <is>
        <t xml:space="preserve">Pro labore (   )
INSS (   )  SIM PARCELAMENTO FGTS (   )
GFIP (   )          VT (     )                    </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Cols" hidden="1" oldHidden="1">
    <formula>'Controle Empresas'!$C:$F,'Controle Empresas'!$N:$N</formula>
    <oldFormula>'Controle Empresas'!$C:$F,'Controle Empresas'!$N:$N</oldFormula>
  </rdn>
  <rdn rId="0" localSheetId="1" customView="1" name="Z_590CEBDA_E7AE_4D8D_8613_56208662CCA9_.wvu.FilterData" hidden="1" oldHidden="1">
    <formula>'Controle Empresas'!$A$1:$N$418</formula>
    <oldFormula>'Controle Empresas'!$A$1:$N$418</oldFormula>
  </rdn>
  <rcv guid="{590CEBDA-E7AE-4D8D-8613-56208662CCA9}"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6" sId="1">
    <nc r="N276" t="inlineStr">
      <is>
        <t>SIM</t>
      </is>
    </nc>
  </rcc>
  <rdn rId="0" localSheetId="1" customView="1" name="Z_590CEBDA_E7AE_4D8D_8613_56208662CCA9_.wvu.Cols" hidden="1" oldHidden="1">
    <oldFormula>'Controle Empresas'!$C:$F,'Controle Empresas'!$N:$N</oldFormula>
  </rdn>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Empresas'!$A$1:$N$418</formula>
    <oldFormula>'Controle Empresas'!$A$1:$N$418</oldFormula>
  </rdn>
  <rcv guid="{590CEBDA-E7AE-4D8D-8613-56208662CCA9}"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0" sId="1">
    <oc r="M28" t="inlineStr">
      <is>
        <r>
          <t xml:space="preserve">Folha e Pro labore (   )
INSS (   )
FGTS e GFIP (   )
Recibo Astransp (   ) </t>
        </r>
        <r>
          <rPr>
            <sz val="9"/>
            <color rgb="FFFF0000"/>
            <rFont val="Arial"/>
            <family val="2"/>
          </rPr>
          <t xml:space="preserve"> 2 vales de segunda a sábado - enviar até dia 25</t>
        </r>
        <r>
          <rPr>
            <sz val="9"/>
            <rFont val="Arial"/>
            <family val="2"/>
          </rPr>
          <t xml:space="preserve"> junto com o das Filiais.
Tem comissão  - Enviar junto com as Filiais</t>
        </r>
      </is>
    </oc>
    <nc r="M28" t="inlineStr">
      <is>
        <r>
          <t xml:space="preserve">Folha e Pro labore (   )
INSS (   )        IR (   )
FGTS e GFIP (   )
Recibo Astransp (   ) </t>
        </r>
        <r>
          <rPr>
            <sz val="9"/>
            <color rgb="FFFF0000"/>
            <rFont val="Arial"/>
            <family val="2"/>
          </rPr>
          <t xml:space="preserve"> 2 vales de segunda a sábado - enviar até dia 25</t>
        </r>
        <r>
          <rPr>
            <sz val="9"/>
            <rFont val="Arial"/>
            <family val="2"/>
          </rPr>
          <t xml:space="preserve"> junto com o das Filiais.
Tem comissão  - Enviar junto com as Filiais</t>
        </r>
      </is>
    </nc>
  </rcc>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1" sId="1">
    <nc r="H273" t="inlineStr">
      <is>
        <t>N</t>
      </is>
    </nc>
  </rcc>
  <rcc rId="4042" sId="1">
    <nc r="H396" t="inlineStr">
      <is>
        <t>N</t>
      </is>
    </nc>
  </rcc>
  <rcc rId="4043" sId="1">
    <nc r="H407" t="inlineStr">
      <is>
        <t>N</t>
      </is>
    </nc>
  </rcc>
  <rcc rId="4044" sId="1">
    <nc r="H408" t="inlineStr">
      <is>
        <t>N</t>
      </is>
    </nc>
  </rcc>
  <rrc rId="4045" sId="1" ref="A236:XFD236" action="delete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FB7C661_5C1D_4491_B5BB_D24125818F62_.wvu.Cols" sId="1"/>
    <undo index="0" exp="area" ref3D="1" dr="$C$1:$F$1048576" dn="Z_DAEEB123_9C5D_4BF0_8F09_E7DEBC62D826_.wvu.Cols" sId="1"/>
    <undo index="0" exp="area" ref3D="1" dr="$C$1:$F$1048576" dn="Z_3BCABC4F_4072_4ED9_90CC_E9BE96773387_.wvu.Cols" sId="1"/>
    <undo index="2" exp="area" ref3D="1" dr="$N$1:$N$1048576" dn="Z_590CEBDA_E7AE_4D8D_8613_56208662CCA9_.wvu.Cols" sId="1"/>
    <undo index="1" exp="area" ref3D="1" dr="$C$1:$F$1048576" dn="Z_590CEBDA_E7AE_4D8D_8613_56208662CCA9_.wvu.Cols" sId="1"/>
    <rfmt sheetId="1" xfDxf="1" sqref="A236:XFD236" start="0" length="0">
      <dxf>
        <font>
          <sz val="8"/>
          <name val="Arial"/>
          <scheme val="none"/>
        </font>
      </dxf>
    </rfmt>
    <rcc rId="0" sId="1" dxf="1">
      <nc r="A236">
        <v>649</v>
      </nc>
      <ndxf>
        <font>
          <sz val="8"/>
          <color auto="1"/>
          <name val="Arial"/>
          <scheme val="minor"/>
        </font>
        <alignment horizontal="center" vertical="center" wrapText="1" readingOrder="0"/>
        <border outline="0">
          <left style="thin">
            <color indexed="64"/>
          </left>
          <right style="thin">
            <color indexed="64"/>
          </right>
          <top style="thin">
            <color indexed="64"/>
          </top>
          <bottom style="thin">
            <color indexed="64"/>
          </bottom>
        </border>
      </ndxf>
    </rcc>
    <rcc rId="0" sId="1" dxf="1">
      <nc r="B236" t="inlineStr">
        <is>
          <t>RENATO- MOR GARCA</t>
        </is>
      </nc>
      <ndxf>
        <font>
          <sz val="8"/>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0" sId="1" s="1" dxf="1">
      <nc r="C236">
        <f>HYPERLINK("#Particularidade!"&amp;ADDRESS(MATCH(B236,Particularidade!B:B,0),2),"Ir para particularidadedes")</f>
      </nc>
      <ndxf>
        <font>
          <u/>
          <sz val="10"/>
          <color theme="10"/>
          <name val="Arial"/>
          <scheme val="none"/>
        </font>
        <alignment horizontal="center" vertical="center" readingOrder="0"/>
        <border outline="0">
          <left style="thin">
            <color indexed="64"/>
          </left>
          <right style="thin">
            <color indexed="64"/>
          </right>
          <bottom style="thin">
            <color indexed="64"/>
          </bottom>
        </border>
      </ndxf>
    </rcc>
    <rcc rId="0" sId="1" s="1" dxf="1">
      <nc r="D236" t="inlineStr">
        <is>
          <t>018.466.046-72</t>
        </is>
      </nc>
      <n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ndxf>
    </rcc>
    <rfmt sheetId="1" s="1" sqref="E236" start="0" length="0">
      <dxf>
        <font>
          <u/>
          <sz val="10"/>
          <color theme="10"/>
          <name val="Arial"/>
          <scheme val="none"/>
        </font>
        <alignment horizontal="center" vertical="center" readingOrder="0"/>
        <border outline="0">
          <left style="thin">
            <color indexed="64"/>
          </left>
          <right style="thin">
            <color indexed="64"/>
          </right>
          <top style="thin">
            <color indexed="64"/>
          </top>
          <bottom style="thin">
            <color indexed="64"/>
          </bottom>
        </border>
      </dxf>
    </rfmt>
    <rcc rId="0" sId="1" s="1" dxf="1">
      <nc r="F236" t="inlineStr">
        <is>
          <t>Morada da Garca</t>
        </is>
      </nc>
      <ndxf>
        <font>
          <u/>
          <sz val="10"/>
          <color theme="10"/>
          <name val="Arial"/>
          <scheme val="none"/>
        </font>
        <alignment horizontal="center" vertical="center" readingOrder="0"/>
        <border outline="0">
          <left style="thin">
            <color indexed="64"/>
          </left>
          <right style="thin">
            <color indexed="64"/>
          </right>
          <top style="thin">
            <color indexed="64"/>
          </top>
        </border>
      </ndxf>
    </rcc>
    <rfmt sheetId="1" sqref="G236" start="0" length="0">
      <dxf>
        <font>
          <b/>
          <sz val="8"/>
          <color auto="1"/>
          <name val="Arial"/>
          <scheme val="none"/>
        </font>
        <alignment horizontal="center" vertical="center" wrapText="1" readingOrder="0"/>
        <border outline="0">
          <left style="thin">
            <color indexed="64"/>
          </left>
          <right style="thin">
            <color indexed="64"/>
          </right>
          <top style="thin">
            <color indexed="64"/>
          </top>
        </border>
      </dxf>
    </rfmt>
    <rfmt sheetId="1" sqref="H236" start="0" length="0">
      <dxf>
        <font>
          <sz val="8"/>
          <color auto="1"/>
          <name val="Arial"/>
          <scheme val="none"/>
        </font>
        <alignment horizontal="center" vertical="center" wrapText="1" readingOrder="0"/>
        <border outline="0">
          <left style="thin">
            <color indexed="64"/>
          </left>
          <right style="thin">
            <color indexed="64"/>
          </right>
          <top style="thin">
            <color indexed="64"/>
          </top>
          <bottom style="thin">
            <color indexed="64"/>
          </bottom>
        </border>
      </dxf>
    </rfmt>
    <rfmt sheetId="1" sqref="I236" start="0" length="0">
      <dxf>
        <font>
          <sz val="8"/>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dxf>
    </rfmt>
    <rfmt sheetId="1" sqref="J236" start="0" length="0">
      <dxf>
        <font>
          <sz val="8"/>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dxf>
    </rfmt>
    <rfmt sheetId="1" sqref="K236" start="0" length="0">
      <dxf>
        <font>
          <sz val="8"/>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dxf>
    </rfmt>
    <rfmt sheetId="1" sqref="L236" start="0" length="0">
      <dxf>
        <font>
          <sz val="8"/>
          <color auto="1"/>
          <name val="Arial"/>
          <scheme val="none"/>
        </font>
        <alignment horizontal="center" vertical="center" wrapText="1" shrinkToFit="1" readingOrder="0"/>
        <border outline="0">
          <left style="thin">
            <color indexed="64"/>
          </left>
          <right style="thin">
            <color indexed="64"/>
          </right>
          <top style="thin">
            <color indexed="64"/>
          </top>
          <bottom style="thin">
            <color indexed="64"/>
          </bottom>
        </border>
      </dxf>
    </rfmt>
    <rfmt sheetId="1" sqref="M236" start="0" length="0">
      <dxf>
        <font>
          <sz val="8"/>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dxf>
    </rfmt>
  </rr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Empresas'!$A$1:$N$417</formula>
    <oldFormula>'Controle Empresas'!$A$1:$N$417</oldFormula>
  </rdn>
  <rcv guid="{DAEEB123-9C5D-4BF0-8F09-E7DEBC62D826}"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9" sId="1">
    <nc r="N5" t="inlineStr">
      <is>
        <t>NÃO</t>
      </is>
    </nc>
  </rcc>
  <rcc rId="4050" sId="1">
    <oc r="M5" t="inlineStr">
      <is>
        <r>
          <t xml:space="preserve">Folha e Pro labore (   )  (   )   </t>
        </r>
        <r>
          <rPr>
            <b/>
            <sz val="9"/>
            <rFont val="Arial"/>
            <family val="2"/>
          </rPr>
          <t>NÃO VAI FAZER  RECALCULO DE FGTS</t>
        </r>
        <r>
          <rPr>
            <sz val="9"/>
            <rFont val="Arial"/>
            <family val="2"/>
          </rPr>
          <t xml:space="preserve">
INSS (   )
FGTS e GFIP (   )
</t>
        </r>
      </is>
    </oc>
    <nc r="M5" t="inlineStr">
      <is>
        <r>
          <t xml:space="preserve">Folha e Pro labore (   )  (   )  </t>
        </r>
        <r>
          <rPr>
            <sz val="9"/>
            <rFont val="Arial"/>
            <family val="2"/>
          </rPr>
          <t xml:space="preserve">
INSS (   )
FGTS e GFIP (   )
</t>
        </r>
      </is>
    </nc>
  </rcc>
  <rcc rId="4051" sId="1">
    <nc r="N37" t="inlineStr">
      <is>
        <t>NÃO</t>
      </is>
    </nc>
  </rcc>
  <rcc rId="4052" sId="1">
    <oc r="M37" t="inlineStr">
      <is>
        <r>
          <t xml:space="preserve">Folha (   )  (   )       )   </t>
        </r>
        <r>
          <rPr>
            <b/>
            <sz val="9"/>
            <rFont val="Arial"/>
            <family val="2"/>
          </rPr>
          <t>NÃO VAI FAZER  RECALCULO DE FGTS</t>
        </r>
        <r>
          <rPr>
            <sz val="9"/>
            <rFont val="Arial"/>
            <family val="2"/>
          </rPr>
          <t xml:space="preserve">
INSS (   )
FGTS e GFIP (   )
Salário trabalha menos horas;
Não fazemos VT </t>
        </r>
      </is>
    </oc>
    <nc r="M37" t="inlineStr">
      <is>
        <r>
          <t xml:space="preserve">Folha (   ) </t>
        </r>
        <r>
          <rPr>
            <sz val="9"/>
            <rFont val="Arial"/>
            <family val="2"/>
          </rPr>
          <t xml:space="preserve">
FGTS e GFIP (   )
Salário trabalha menos horas;
Não fazemos VT </t>
        </r>
      </is>
    </nc>
  </rcc>
  <rcc rId="4053" sId="1">
    <nc r="N39" t="inlineStr">
      <is>
        <t>SIM</t>
      </is>
    </nc>
  </rcc>
  <rcc rId="4054" sId="1">
    <oc r="M39" t="inlineStr">
      <is>
        <r>
          <t xml:space="preserve">Folha (   )      </t>
        </r>
        <r>
          <rPr>
            <b/>
            <sz val="9"/>
            <rFont val="Arial"/>
            <family val="2"/>
          </rPr>
          <t xml:space="preserve">  </t>
        </r>
        <r>
          <rPr>
            <b/>
            <sz val="9"/>
            <color rgb="FF7030A0"/>
            <rFont val="Arial"/>
            <family val="2"/>
          </rPr>
          <t>PARCELAMENTO FGTS (  )</t>
        </r>
        <r>
          <rPr>
            <sz val="9"/>
            <rFont val="Arial"/>
            <family val="2"/>
          </rPr>
          <t xml:space="preserve">
INSS (   )
FGTS e GFIP (   )
</t>
        </r>
        <r>
          <rPr>
            <b/>
            <sz val="9"/>
            <color rgb="FFFF0000"/>
            <rFont val="Arial"/>
            <family val="2"/>
          </rPr>
          <t>Recibo complementar de limpeza para funcionária.</t>
        </r>
      </is>
    </oc>
    <nc r="M39" t="inlineStr">
      <is>
        <r>
          <t xml:space="preserve">Folha (   )      </t>
        </r>
        <r>
          <rPr>
            <b/>
            <sz val="9"/>
            <rFont val="Arial"/>
            <family val="2"/>
          </rPr>
          <t xml:space="preserve">  </t>
        </r>
        <r>
          <rPr>
            <sz val="9"/>
            <rFont val="Arial"/>
            <family val="2"/>
          </rPr>
          <t xml:space="preserve">
INSS (   )
FGTS e GFIP (   )
</t>
        </r>
        <r>
          <rPr>
            <b/>
            <sz val="9"/>
            <color rgb="FFFF0000"/>
            <rFont val="Arial"/>
            <family val="2"/>
          </rPr>
          <t>Recibo complementar de limpeza para funcionária.</t>
        </r>
      </is>
    </nc>
  </rcc>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55" sId="1">
    <nc r="N47" t="inlineStr">
      <is>
        <t>SIM</t>
      </is>
    </nc>
  </rcc>
  <rcc rId="4056" sId="1">
    <oc r="M47" t="inlineStr">
      <is>
        <r>
          <t xml:space="preserve">Folha  (   )  </t>
        </r>
        <r>
          <rPr>
            <sz val="9"/>
            <color rgb="FF7030A0"/>
            <rFont val="Arial"/>
            <family val="2"/>
          </rPr>
          <t>PARCELAMENTO FGTS ( )</t>
        </r>
        <r>
          <rPr>
            <sz val="9"/>
            <rFont val="Arial"/>
            <family val="2"/>
          </rPr>
          <t xml:space="preserve">
INSS (   )
FGTS e GFIP (   )</t>
        </r>
      </is>
    </oc>
    <nc r="M47" t="inlineStr">
      <is>
        <r>
          <t>Folha  (   )</t>
        </r>
        <r>
          <rPr>
            <sz val="9"/>
            <rFont val="Arial"/>
            <family val="2"/>
          </rPr>
          <t xml:space="preserve">
INSS (   )
FGTS e GFIP (   )</t>
        </r>
      </is>
    </nc>
  </rcc>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57" sId="1">
    <nc r="N48" t="inlineStr">
      <is>
        <t>NÃO</t>
      </is>
    </nc>
  </rcc>
  <rcc rId="4058" sId="1">
    <oc r="M48" t="inlineStr">
      <is>
        <r>
          <t xml:space="preserve">Folha e Pro labore (   ) INSS (     )    IRRF (     )
FGTS e GFIP (   )      )  </t>
        </r>
        <r>
          <rPr>
            <b/>
            <sz val="9"/>
            <rFont val="Arial"/>
            <family val="2"/>
          </rPr>
          <t xml:space="preserve"> NÃO</t>
        </r>
        <r>
          <rPr>
            <sz val="9"/>
            <rFont val="Arial"/>
            <family val="2"/>
          </rPr>
          <t xml:space="preserve"> VAI FAZER  RECALCULO DE FGTS (    )
</t>
        </r>
        <r>
          <rPr>
            <sz val="9"/>
            <color rgb="FFFF0000"/>
            <rFont val="Arial"/>
            <family val="2"/>
          </rPr>
          <t>Tem Plano de Saúde (desconta apenas dependente); socia Cristiane multipos vinculos; e funcionario tem produtividade.</t>
        </r>
      </is>
    </oc>
    <nc r="M48" t="inlineStr">
      <is>
        <r>
          <t xml:space="preserve">Folha e Pro labore (   ) INSS (     )    IRRF (     )
FGTS e GFIP (   )      ) </t>
        </r>
        <r>
          <rPr>
            <sz val="9"/>
            <rFont val="Arial"/>
            <family val="2"/>
          </rPr>
          <t xml:space="preserve">
</t>
        </r>
        <r>
          <rPr>
            <sz val="9"/>
            <color rgb="FFFF0000"/>
            <rFont val="Arial"/>
            <family val="2"/>
          </rPr>
          <t>Tem Plano de Saúde (desconta apenas dependente); socia Cristiane multipos vinculos; e funcionario tem produtividade.</t>
        </r>
      </is>
    </nc>
  </rcc>
  <rcc rId="4059" sId="1">
    <oc r="M58" t="inlineStr">
      <is>
        <r>
          <t xml:space="preserve">Folha e Pro labore (   ) 
INSS (   ) </t>
        </r>
        <r>
          <rPr>
            <b/>
            <sz val="9"/>
            <rFont val="Arial"/>
            <family val="2"/>
          </rPr>
          <t xml:space="preserve"> NÃO </t>
        </r>
        <r>
          <rPr>
            <sz val="9"/>
            <rFont val="Arial"/>
            <family val="2"/>
          </rPr>
          <t xml:space="preserve">VAI QUERER O PARCELAMENTO FGTS (  )
FGTS e GFIP (   )                                                                                                Tem vale Transporte  2vt de seg a sex                                                           </t>
        </r>
      </is>
    </oc>
    <nc r="M58" t="inlineStr">
      <is>
        <r>
          <t xml:space="preserve">Folha e Pro labore (   ) 
INSS (   ) </t>
        </r>
        <r>
          <rPr>
            <sz val="9"/>
            <rFont val="Arial"/>
            <family val="2"/>
          </rPr>
          <t xml:space="preserve">
FGTS e GFIP (   )                                                                                                Tem vale Transporte  2vt de seg a sex                                                           </t>
        </r>
      </is>
    </nc>
  </rcc>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60" sId="1">
    <nc r="N72" t="inlineStr">
      <is>
        <t>SIM</t>
      </is>
    </nc>
  </rcc>
  <rcc rId="4061" sId="1">
    <oc r="M124" t="inlineStr">
      <is>
        <t xml:space="preserve">Pro labore (   )
INSS (   )  SIM PARCELAMENTO FGTS (   )
GFIP (   )          VT (     )                    </t>
      </is>
    </oc>
    <nc r="M124" t="inlineStr">
      <is>
        <t xml:space="preserve">Pro labore (   )
INSS (   )  
GFIP (   )          VT (     )                    </t>
      </is>
    </nc>
  </rcc>
  <rcc rId="4062" sId="1">
    <nc r="N124" t="inlineStr">
      <is>
        <t>SIM</t>
      </is>
    </nc>
  </rcc>
  <rcc rId="4063" sId="1">
    <nc r="N140" t="inlineStr">
      <is>
        <t>SIM</t>
      </is>
    </nc>
  </rcc>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64" sId="1">
    <oc r="M140" t="inlineStr">
      <is>
        <r>
          <t>Folha e Pro labore (   )</t>
        </r>
        <r>
          <rPr>
            <b/>
            <sz val="9"/>
            <rFont val="Arial"/>
            <family val="2"/>
          </rPr>
          <t xml:space="preserve">  PARCELAMENTO FGTS (   )</t>
        </r>
        <r>
          <rPr>
            <sz val="9"/>
            <rFont val="Arial"/>
            <family val="2"/>
          </rPr>
          <t xml:space="preserve">
INSS (   )
FGTS e GFIP (   )
IRRF (  )               </t>
        </r>
        <r>
          <rPr>
            <sz val="9"/>
            <color rgb="FFFF0000"/>
            <rFont val="Arial"/>
            <family val="2"/>
          </rPr>
          <t xml:space="preserve">                      </t>
        </r>
        <r>
          <rPr>
            <sz val="9"/>
            <rFont val="Arial"/>
            <family val="2"/>
          </rPr>
          <t xml:space="preserve">                                                                                           </t>
        </r>
      </is>
    </oc>
    <nc r="M140" t="inlineStr">
      <is>
        <r>
          <t>Folha e Pro labore (   )</t>
        </r>
        <r>
          <rPr>
            <b/>
            <sz val="9"/>
            <rFont val="Arial"/>
            <family val="2"/>
          </rPr>
          <t xml:space="preserve">  </t>
        </r>
        <r>
          <rPr>
            <sz val="9"/>
            <rFont val="Arial"/>
            <family val="2"/>
          </rPr>
          <t xml:space="preserve">
INSS (   )
FGTS e GFIP (   )
IRRF (  )               </t>
        </r>
        <r>
          <rPr>
            <sz val="9"/>
            <color rgb="FFFF0000"/>
            <rFont val="Arial"/>
            <family val="2"/>
          </rPr>
          <t xml:space="preserve">                      </t>
        </r>
        <r>
          <rPr>
            <sz val="9"/>
            <rFont val="Arial"/>
            <family val="2"/>
          </rPr>
          <t xml:space="preserve">                                                                                           </t>
        </r>
      </is>
    </nc>
  </rcc>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65" sId="1">
    <nc r="N152" t="inlineStr">
      <is>
        <t>NÃO</t>
      </is>
    </nc>
  </rcc>
  <rcc rId="4066" sId="1">
    <oc r="M152" t="inlineStr">
      <is>
        <r>
          <t>Folha e Pro labore (   )
INSS (   )</t>
        </r>
        <r>
          <rPr>
            <sz val="9"/>
            <color rgb="FFFF0000"/>
            <rFont val="Arial"/>
            <family val="2"/>
          </rPr>
          <t xml:space="preserve">    NÃO  PARC ELAMENTO FGTS (  )</t>
        </r>
        <r>
          <rPr>
            <sz val="9"/>
            <rFont val="Arial"/>
            <family val="2"/>
          </rPr>
          <t xml:space="preserve">
FGTS e GFIP (   ) 
</t>
        </r>
      </is>
    </oc>
    <nc r="M152" t="inlineStr">
      <is>
        <r>
          <t>Folha e Pro labore (   )
INSS (   )</t>
        </r>
        <r>
          <rPr>
            <sz val="9"/>
            <color rgb="FFFF0000"/>
            <rFont val="Arial"/>
            <family val="2"/>
          </rPr>
          <t xml:space="preserve">    </t>
        </r>
        <r>
          <rPr>
            <sz val="9"/>
            <rFont val="Arial"/>
            <family val="2"/>
          </rPr>
          <t xml:space="preserve">
FGTS e GFIP (   ) 
</t>
        </r>
      </is>
    </nc>
  </rcc>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67" sId="1">
    <nc r="N156" t="inlineStr">
      <is>
        <t>NÃO</t>
      </is>
    </nc>
  </rcc>
  <rcc rId="4068" sId="1">
    <oc r="M156" t="inlineStr">
      <is>
        <r>
          <t xml:space="preserve">Folha e Pro labore (   )
INSS (   )                </t>
        </r>
        <r>
          <rPr>
            <b/>
            <sz val="9"/>
            <rFont val="Arial"/>
            <family val="2"/>
          </rPr>
          <t xml:space="preserve">  NÃO PARCELAMENTO FGTS (  )</t>
        </r>
        <r>
          <rPr>
            <sz val="9"/>
            <rFont val="Arial"/>
            <family val="2"/>
          </rPr>
          <t xml:space="preserve">
FGTS e GFIP (   ) </t>
        </r>
        <r>
          <rPr>
            <b/>
            <sz val="9"/>
            <color rgb="FFFF0000"/>
            <rFont val="Arial"/>
            <family val="2"/>
          </rPr>
          <t>Plano de sáude altera vl em maio</t>
        </r>
        <r>
          <rPr>
            <sz val="9"/>
            <rFont val="Arial"/>
            <family val="2"/>
          </rPr>
          <t xml:space="preserve">
Tem multiplos vínculos;  tem assiduidade 20%.  VT FEITO NA EMPRESA DESCONTA 6% EM FOLHA</t>
        </r>
      </is>
    </oc>
    <nc r="M156" t="inlineStr">
      <is>
        <r>
          <t xml:space="preserve">Folha e Pro labore (   )
INSS (   )                </t>
        </r>
        <r>
          <rPr>
            <b/>
            <sz val="9"/>
            <rFont val="Arial"/>
            <family val="2"/>
          </rPr>
          <t xml:space="preserve">  </t>
        </r>
        <r>
          <rPr>
            <sz val="9"/>
            <rFont val="Arial"/>
            <family val="2"/>
          </rPr>
          <t xml:space="preserve">
FGTS e GFIP (   ) </t>
        </r>
        <r>
          <rPr>
            <b/>
            <sz val="9"/>
            <color rgb="FFFF0000"/>
            <rFont val="Arial"/>
            <family val="2"/>
          </rPr>
          <t>Plano de sáude altera vl em maio</t>
        </r>
        <r>
          <rPr>
            <sz val="9"/>
            <rFont val="Arial"/>
            <family val="2"/>
          </rPr>
          <t xml:space="preserve">
Tem multiplos vínculos;  tem assiduidade 20%.  VT FEITO NA EMPRESA DESCONTA 6% EM FOLHA</t>
        </r>
      </is>
    </nc>
  </rcc>
  <rcc rId="4069" sId="1">
    <nc r="N191" t="inlineStr">
      <is>
        <t>SIM</t>
      </is>
    </nc>
  </rcc>
  <rcc rId="4070" sId="1">
    <oc r="M191" t="inlineStr">
      <is>
        <t xml:space="preserve">Folha e Pro labore (   )    
INSS (   )  PARCELAMENTO FGTS (    )
FGTS e GFIP (   )                                                                                                                                         </t>
      </is>
    </oc>
    <nc r="M191" t="inlineStr">
      <is>
        <t xml:space="preserve">Folha e Pro labore (   )    
INSS (   ) 
FGTS e GFIP (   )                                                                                                                                         </t>
      </is>
    </nc>
  </rcc>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1" sId="1">
    <oc r="M200" t="inlineStr">
      <is>
        <r>
          <t xml:space="preserve">FGTS e GFIP (   )  IR (  )  </t>
        </r>
        <r>
          <rPr>
            <b/>
            <sz val="9"/>
            <rFont val="Arial"/>
            <family val="2"/>
          </rPr>
          <t xml:space="preserve"> Parcelamento FGTS (    )</t>
        </r>
      </is>
    </oc>
    <nc r="M200" t="inlineStr">
      <is>
        <t xml:space="preserve">FGTS e GFIP (   )  IR (  )  </t>
      </is>
    </nc>
  </rcc>
  <rcc rId="4072" sId="1">
    <nc r="N200" t="inlineStr">
      <is>
        <t>SIM</t>
      </is>
    </nc>
  </rcc>
  <rcc rId="4073" sId="1">
    <oc r="M218" t="inlineStr">
      <is>
        <t>Folha e Pro labore (   )
INSS (   )            Plano de Saude 
FGTS e GFIP (   )                                                                                                                 Adiantamento (   )    Parcelamento FGTS (    )</t>
      </is>
    </oc>
    <nc r="M218" t="inlineStr">
      <is>
        <t xml:space="preserve">Folha e Pro labore (   )
INSS (   )            Plano de Saude 
FGTS e GFIP (   )                                                                                                                 Adiantamento (   )   </t>
      </is>
    </nc>
  </rcc>
  <rcc rId="4074" sId="1">
    <oc r="M237" t="inlineStr">
      <is>
        <t xml:space="preserve">Folha (  )
INSS (   )      Parcelamento FGTS (    )
FGTS e GFIP (   )                                                                                                                                </t>
      </is>
    </oc>
    <nc r="M237" t="inlineStr">
      <is>
        <t xml:space="preserve">Folha (  )
INSS (   )   
FGTS e GFIP (   )                                                                                                                                </t>
      </is>
    </nc>
  </rcc>
  <rcc rId="4075" sId="1">
    <nc r="N237" t="inlineStr">
      <is>
        <t>SIM</t>
      </is>
    </nc>
  </rcc>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6" sId="1">
    <nc r="N246" t="inlineStr">
      <is>
        <t>NÃO</t>
      </is>
    </nc>
  </rcc>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7" sId="1">
    <oc r="M262" t="inlineStr">
      <is>
        <t xml:space="preserve">Folha(   )   Adiantamento 20% (  )
INSS (   ) Folha de Ponto (    ) 
GFIP (   )        VT  (    )              PARCELAMENTO  FGTS (       )    </t>
      </is>
    </oc>
    <nc r="M262" t="inlineStr">
      <is>
        <t xml:space="preserve">Folha(   )   Adiantamento 20% (  )
INSS (   ) Folha de Ponto (    ) 
GFIP (   )        VT  (    )             </t>
      </is>
    </nc>
  </rcc>
  <rcc rId="4078" sId="1">
    <nc r="N262" t="inlineStr">
      <is>
        <t>SIM</t>
      </is>
    </nc>
  </rcc>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9" sId="1">
    <oc r="M273" t="inlineStr">
      <is>
        <r>
          <t xml:space="preserve">Pro labore (   )  IRF (  )
INSS (   )  </t>
        </r>
        <r>
          <rPr>
            <b/>
            <sz val="9"/>
            <rFont val="Arial"/>
            <family val="2"/>
          </rPr>
          <t>NÃO PARCELAMENTO FGTS  (   )</t>
        </r>
        <r>
          <rPr>
            <sz val="9"/>
            <rFont val="Arial"/>
            <family val="2"/>
          </rPr>
          <t xml:space="preserve">
GFIP (   )    </t>
        </r>
      </is>
    </oc>
    <nc r="M273" t="inlineStr">
      <is>
        <r>
          <t xml:space="preserve">Pro labore (   )  IRF (  )
INSS (   )  </t>
        </r>
        <r>
          <rPr>
            <sz val="9"/>
            <rFont val="Arial"/>
            <family val="2"/>
          </rPr>
          <t xml:space="preserve">
GFIP (   )    </t>
        </r>
      </is>
    </nc>
  </rcc>
  <rcc rId="4080" sId="1">
    <nc r="N273" t="inlineStr">
      <is>
        <t>NÃO</t>
      </is>
    </nc>
  </rcc>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1" sId="1">
    <nc r="N336" t="inlineStr">
      <is>
        <t>NÃO</t>
      </is>
    </nc>
  </rcc>
  <rcc rId="4082" sId="1">
    <oc r="M336" t="inlineStr">
      <is>
        <r>
          <t xml:space="preserve">FOLHA(  )  (   ) inss  (  ) gfip </t>
        </r>
        <r>
          <rPr>
            <sz val="9"/>
            <color rgb="FFFF0000"/>
            <rFont val="Arial"/>
            <family val="2"/>
          </rPr>
          <t xml:space="preserve">sempre descontar aluguel do func. Valor de $10,00  </t>
        </r>
        <r>
          <rPr>
            <b/>
            <sz val="9"/>
            <color rgb="FFFF0000"/>
            <rFont val="Arial"/>
            <family val="2"/>
          </rPr>
          <t xml:space="preserve"> NÃO</t>
        </r>
        <r>
          <rPr>
            <sz val="9"/>
            <color rgb="FFFF0000"/>
            <rFont val="Arial"/>
            <family val="2"/>
          </rPr>
          <t xml:space="preserve"> PARCELAR  FGTS ( ) </t>
        </r>
      </is>
    </oc>
    <nc r="M336" t="inlineStr">
      <is>
        <r>
          <t xml:space="preserve">FOLHA(  )  (   ) inss  (  ) gfip </t>
        </r>
        <r>
          <rPr>
            <sz val="9"/>
            <color rgb="FFFF0000"/>
            <rFont val="Arial"/>
            <family val="2"/>
          </rPr>
          <t xml:space="preserve">sempre descontar aluguel do func. Valor de $10,00  </t>
        </r>
        <r>
          <rPr>
            <b/>
            <sz val="9"/>
            <color rgb="FFFF0000"/>
            <rFont val="Arial"/>
            <family val="2"/>
          </rPr>
          <t xml:space="preserve"> </t>
        </r>
      </is>
    </nc>
  </rcc>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3" sId="1">
    <nc r="N337" t="inlineStr">
      <is>
        <t>SIM</t>
      </is>
    </nc>
  </rcc>
  <rcc rId="4084" sId="1">
    <oc r="M337" t="inlineStr">
      <is>
        <r>
          <t xml:space="preserve">Pro labore (   )  
INSS (   )   </t>
        </r>
        <r>
          <rPr>
            <b/>
            <sz val="9"/>
            <rFont val="Arial"/>
            <family val="2"/>
          </rPr>
          <t xml:space="preserve"> SIM PARCELAR  FGTS ( )</t>
        </r>
        <r>
          <rPr>
            <sz val="9"/>
            <rFont val="Arial"/>
            <family val="2"/>
          </rPr>
          <t xml:space="preserve">
GFIP (   ) comissão(   )</t>
        </r>
      </is>
    </oc>
    <nc r="M337" t="inlineStr">
      <is>
        <r>
          <t xml:space="preserve">Pro labore (   )  
INSS (   )   </t>
        </r>
        <r>
          <rPr>
            <sz val="9"/>
            <rFont val="Arial"/>
            <family val="2"/>
          </rPr>
          <t xml:space="preserve">
GFIP (   ) comissão(   )</t>
        </r>
      </is>
    </nc>
  </rcc>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5" sId="1">
    <oc r="M341" t="inlineStr">
      <is>
        <r>
          <t xml:space="preserve">GFIP (   )  MEI                                     INSS (   )      FGTS (  )  </t>
        </r>
        <r>
          <rPr>
            <b/>
            <sz val="9"/>
            <rFont val="Arial"/>
            <family val="2"/>
          </rPr>
          <t xml:space="preserve"> NÃO </t>
        </r>
        <r>
          <rPr>
            <sz val="9"/>
            <rFont val="Arial"/>
            <family val="2"/>
          </rPr>
          <t>PARCELAR  FGTS ( )</t>
        </r>
      </is>
    </oc>
    <nc r="M341" t="inlineStr">
      <is>
        <r>
          <t xml:space="preserve">GFIP (   )  MEI                                     INSS (   )      FGTS (  )  </t>
        </r>
        <r>
          <rPr>
            <b/>
            <sz val="9"/>
            <rFont val="Arial"/>
            <family val="2"/>
          </rPr>
          <t xml:space="preserve"> </t>
        </r>
      </is>
    </nc>
  </rcc>
  <rcc rId="4086" sId="1">
    <nc r="N341" t="inlineStr">
      <is>
        <t>NÃO</t>
      </is>
    </nc>
  </rcc>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7" sId="1">
    <oc r="M344" t="inlineStr">
      <is>
        <r>
          <t xml:space="preserve">Recibo Pgto (   )  
INSS (   )   SIM PARCELAR  FGTS (    )
GFIP (   )     </t>
        </r>
        <r>
          <rPr>
            <b/>
            <sz val="9"/>
            <rFont val="Arial"/>
            <family val="2"/>
          </rPr>
          <t>PAGA SEMPRE NO ULTIMO DIA DO MES</t>
        </r>
      </is>
    </oc>
    <nc r="M344" t="inlineStr">
      <is>
        <r>
          <t xml:space="preserve">Recibo Pgto (   )  
INSS (   )  
GFIP (   )     </t>
        </r>
        <r>
          <rPr>
            <b/>
            <sz val="9"/>
            <rFont val="Arial"/>
            <family val="2"/>
          </rPr>
          <t>PAGA SEMPRE NO ULTIMO DIA DO MES</t>
        </r>
      </is>
    </nc>
  </rcc>
  <rcc rId="4088" sId="1">
    <nc r="N371" t="inlineStr">
      <is>
        <t>NÃO</t>
      </is>
    </nc>
  </rcc>
  <rcc rId="4089" sId="1">
    <oc r="M371" t="inlineStr">
      <is>
        <r>
          <t xml:space="preserve">Folha e Pro labore (   )                                
INSS (   ) </t>
        </r>
        <r>
          <rPr>
            <b/>
            <sz val="9"/>
            <rFont val="Arial"/>
            <family val="2"/>
          </rPr>
          <t xml:space="preserve"> NÃO PARCELAMENTO FGTS </t>
        </r>
        <r>
          <rPr>
            <sz val="9"/>
            <rFont val="Arial"/>
            <family val="2"/>
          </rPr>
          <t xml:space="preserve">
GFIP (  ) (   ) BOLETO VT
</t>
        </r>
      </is>
    </oc>
    <nc r="M371" t="inlineStr">
      <is>
        <r>
          <t xml:space="preserve">Folha e Pro labore (   )                                
INSS (   ) </t>
        </r>
        <r>
          <rPr>
            <b/>
            <sz val="9"/>
            <rFont val="Arial"/>
            <family val="2"/>
          </rPr>
          <t xml:space="preserve"> </t>
        </r>
        <r>
          <rPr>
            <sz val="9"/>
            <rFont val="Arial"/>
            <family val="2"/>
          </rPr>
          <t xml:space="preserve">
GFIP (  ) (   ) BOLETO VT
</t>
        </r>
      </is>
    </nc>
  </rcc>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is rId="4090" sheetId="5" name="[CONTROLE FOLHA DE PAGAMENTO.xlsm]Planilha2" sheetPosition="2"/>
  <rcc rId="4091" sId="5">
    <nc r="L10">
      <v>0.08</v>
    </nc>
  </rcc>
  <rcc rId="4092" sId="5">
    <nc r="O10">
      <f>L10*M10</f>
    </nc>
  </rcc>
  <rcc rId="4093" sId="5">
    <nc r="M10">
      <v>12185.73</v>
    </nc>
  </rcc>
  <rcc rId="4094" sId="1">
    <nc r="N87" t="inlineStr">
      <is>
        <t>NÃO</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Empresas'!$A$1:$N$417</formula>
    <oldFormula>'Controle Empresas'!$A$1:$N$417</oldFormula>
  </rdn>
  <rcv guid="{590CEBDA-E7AE-4D8D-8613-56208662CCA9}"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97" sId="1">
    <nc r="N114" t="inlineStr">
      <is>
        <t>SIM</t>
      </is>
    </nc>
  </rcc>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98" sId="2">
    <oc r="C413" t="inlineStr">
      <is>
        <r>
          <t>Todos tem valetransporte seg a SEXTA  login: 29930464000189 senha suavjf  tem adiantamento O FUNC.</t>
        </r>
        <r>
          <rPr>
            <sz val="10"/>
            <color rgb="FFFF0000"/>
            <rFont val="Trebuchet MS"/>
            <family val="2"/>
          </rPr>
          <t>O FUNC. DOUGLAS ESTA RECEBENDO SALÁRIO MENOR POR ISSO GANHA MENOS.( A funcionaria Thamires fez uma carta solictando que não quer mais adiantamento).</t>
        </r>
      </is>
    </oc>
    <nc r="C413" t="inlineStr">
      <is>
        <r>
          <t>Todos tem valetransporte seg a SEXTA  login: 29930464000189 senha suavjf  tem adiantamento O FUNC.</t>
        </r>
        <r>
          <rPr>
            <sz val="10"/>
            <color rgb="FFFF0000"/>
            <rFont val="Trebuchet MS"/>
            <family val="2"/>
          </rPr>
          <t>O FUNC. DOUGLAS ESTA RECEBENDO SALÁRIO MENOR POR ISSO GANHA MENOS.( A funcionaria Thamires fez uma carta solictando que não quer mais adiantamento).A func, Lorena não teve seu reajuste salarial conforme convenção a pedido de Necélio.Esta documentado no site.</t>
        </r>
      </is>
    </nc>
  </rcc>
  <rcv guid="{DFB7C661-5C1D-4491-B5BB-D24125818F62}" action="delete"/>
  <rdn rId="0" localSheetId="2" customView="1" name="Z_DFB7C661_5C1D_4491_B5BB_D24125818F62_.wvu.FilterData" hidden="1" oldHidden="1">
    <formula>Particularidade!$A$1:$D$244</formula>
    <oldFormula>Particularidade!$A$1:$D$244</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Empresas'!$A$1:$N$417</formula>
    <oldFormula>'Controle Empresas'!$A$1:$N$417</oldFormula>
  </rdn>
  <rcv guid="{DFB7C661-5C1D-4491-B5BB-D24125818F62}"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2" sId="1">
    <nc r="N144" t="inlineStr">
      <is>
        <t>SIM</t>
      </is>
    </nc>
  </rcc>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3" sId="1">
    <oc r="N58" t="inlineStr">
      <is>
        <t>NÂO</t>
      </is>
    </oc>
    <nc r="N58" t="inlineStr">
      <is>
        <t>NÃO</t>
      </is>
    </nc>
  </rcc>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4" sId="1">
    <nc r="N221" t="inlineStr">
      <is>
        <t>SIM</t>
      </is>
    </nc>
  </rcc>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5" sId="1">
    <nc r="N412" t="inlineStr">
      <is>
        <t>SIM</t>
      </is>
    </nc>
  </rcc>
  <rfmt sheetId="1" sqref="N1:N1048576">
    <dxf>
      <alignment horizontal="center" readingOrder="0"/>
    </dxf>
  </rfmt>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6" sId="1">
    <nc r="N139" t="inlineStr">
      <is>
        <t>SIM</t>
      </is>
    </nc>
  </rcc>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7" sId="1">
    <nc r="N414" t="inlineStr">
      <is>
        <t>SIM</t>
      </is>
    </nc>
  </rcc>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08" sId="1">
    <oc r="N87" t="inlineStr">
      <is>
        <t>NÃO</t>
      </is>
    </oc>
    <nc r="N87" t="inlineStr">
      <is>
        <t>SIM</t>
      </is>
    </nc>
  </rcc>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1:N2 N5 N18 N28 N32 N37:N40 N47:N48 N58 N65 N70 N72 N76 N79 N81 N83:N84 N87 N100:N101 N106 N114 N118 N122 N124 N140:N141 N145 N152:N153 N155:N156 N160 N162 N166:N170 N172 N174 N178:N180 N187 N191 N198 N200 N205 N213 N218 N224 N228 N231 N233 N237:N240 N246 N253 N262 N264 N273:N275 N289 N294 N302:N303 N307 N311 N313:N315 N317 N319 N322:N323 N326 N328 N332 N336:N338 N340:N341 N343:N344 N351 N354:N356 N364 N370:N371 N380 N384 N388:N389 N393 N397 N403:N404 N412:N414 N418:N1048576">
    <dxf>
      <alignment horizontal="general" readingOrder="0"/>
    </dxf>
  </rfmt>
  <rfmt sheetId="1" sqref="N1:N2 N5 N18 N28 N32 N37:N40 N47:N48 N58 N65 N70 N72 N76 N79 N81 N83:N84 N87 N100:N101 N106 N114 N118 N122 N124 N140:N141 N145 N152:N153 N155:N156 N160 N162 N166:N170 N172 N174 N178:N180 N187 N191 N198 N200 N205 N213 N218 N224 N228 N231 N233 N237:N240 N246 N253 N262 N264 N273:N275 N289 N294 N302:N303 N307 N311 N313:N315 N317 N319 N322:N323 N326 N328 N332 N336:N338 N340:N341 N343:N344 N351 N354:N356 N364 N370:N371 N380 N384 N388:N389 N393 N397 N403:N404 N412:N414 N418:N1048576">
    <dxf>
      <alignment horizontal="center" readingOrder="0"/>
    </dxf>
  </rfmt>
  <rcc rId="4109" sId="1">
    <oc r="M72" t="inlineStr">
      <is>
        <t xml:space="preserve">Folha e Pro labore (   )
INSS (   )   PARCELAMENTO FGTS (    )
FGTS e GFIP (   )
</t>
      </is>
    </oc>
    <nc r="M72" t="inlineStr">
      <is>
        <t xml:space="preserve">Folha e Pro labore (   )
INSS (   )   
FGTS e GFIP (   )
</t>
      </is>
    </nc>
  </rcc>
  <rcc rId="4110" sId="1">
    <nc r="N83" t="inlineStr">
      <is>
        <t>NÃO RESPONDEU .Gerei guia normal</t>
      </is>
    </nc>
  </rcc>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11" sId="1">
    <oc r="N412" t="inlineStr">
      <is>
        <t>SIM</t>
      </is>
    </oc>
    <nc r="N412" t="inlineStr">
      <is>
        <t>NÃO</t>
      </is>
    </nc>
  </rcc>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Empresas'!$A$1:$N$417</formula>
    <oldFormula>'Controle Empresas'!$A$1:$N$417</oldFormula>
  </rdn>
  <rcv guid="{590CEBDA-E7AE-4D8D-8613-56208662CCA9}"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14" sId="2">
    <oc r="C531" t="inlineStr">
      <is>
        <t xml:space="preserve">Ele passa horas faltas no mês que tiver. 
VALE TRANSPORTE LOGIN : 31889167000189 SENHA : BIOVET4141 (segunda a sexta)
Giseli (Bilhete Único) 
Angellyca (Comum) 
</t>
      </is>
    </oc>
    <nc r="C531" t="inlineStr">
      <is>
        <t xml:space="preserve">Ele passa horas faltas no mês que tiver. 
VALE TRANSPORTE LOGIN : 31889167000189 SENHA : BIOVET4141 (segunda a sexta)
Giseli (Bilhete Único)  Angellyca (Comum) 
Apenas tosador de animais domesticos tem insalubridade. </t>
      </is>
    </nc>
  </rcc>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15" sId="1">
    <nc r="N393" t="inlineStr">
      <is>
        <t xml:space="preserve">sim </t>
      </is>
    </nc>
  </rcc>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16" sId="1">
    <oc r="M393" t="inlineStr">
      <is>
        <r>
          <t xml:space="preserve">Pro labore (   ) 
INSS (   )       Vale Transporte(   )
GFIP (   )                </t>
        </r>
        <r>
          <rPr>
            <sz val="9"/>
            <color rgb="FFFF0000"/>
            <rFont val="Arial"/>
            <family val="2"/>
          </rPr>
          <t xml:space="preserve">            </t>
        </r>
      </is>
    </oc>
    <nc r="M393" t="inlineStr">
      <is>
        <r>
          <t xml:space="preserve">Pro labore (   ) 
INSS (   )       Vale Transporte(   )
GFIP (   )        IR (  )        </t>
        </r>
        <r>
          <rPr>
            <sz val="9"/>
            <color rgb="FFFF0000"/>
            <rFont val="Arial"/>
            <family val="2"/>
          </rPr>
          <t xml:space="preserve">            </t>
        </r>
      </is>
    </nc>
  </rcc>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17" sId="1">
    <nc r="N164" t="inlineStr">
      <is>
        <t>SIM</t>
      </is>
    </nc>
  </rcc>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18" sId="1">
    <oc r="M314" t="inlineStr">
      <is>
        <t>(   ) PRO LABORE      (   ) INSS        (   )GFIP    passa fechamento,horas extras</t>
      </is>
    </oc>
    <nc r="M314" t="inlineStr">
      <is>
        <t>(   ) PRO LABORE      (   ) INSS       IR  (    )      (   )GFIP    passa fechamento,horas extras</t>
      </is>
    </nc>
  </rcc>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28">
    <dxf>
      <fill>
        <patternFill patternType="solid">
          <bgColor rgb="FFD60093"/>
        </patternFill>
      </fill>
    </dxf>
  </rfmt>
  <rfmt sheetId="1" sqref="L16">
    <dxf>
      <fill>
        <patternFill>
          <bgColor rgb="FFD60093"/>
        </patternFill>
      </fill>
    </dxf>
  </rfmt>
  <rfmt sheetId="1" sqref="L38">
    <dxf>
      <fill>
        <patternFill>
          <bgColor rgb="FFD60093"/>
        </patternFill>
      </fill>
    </dxf>
  </rfmt>
  <rcc rId="4119" sId="1">
    <nc r="N30" t="inlineStr">
      <is>
        <t>em 03.2020 foi por email</t>
      </is>
    </nc>
  </rcc>
  <rfmt sheetId="1" sqref="L37">
    <dxf>
      <fill>
        <patternFill>
          <bgColor rgb="FFD60093"/>
        </patternFill>
      </fill>
    </dxf>
  </rfmt>
  <rfmt sheetId="1" sqref="L336">
    <dxf>
      <fill>
        <patternFill patternType="solid">
          <bgColor rgb="FFD60093"/>
        </patternFill>
      </fill>
    </dxf>
  </rfmt>
  <rfmt sheetId="1" sqref="L149">
    <dxf>
      <fill>
        <patternFill>
          <bgColor rgb="FFD60093"/>
        </patternFill>
      </fill>
    </dxf>
  </rfmt>
  <rfmt sheetId="1" sqref="L151">
    <dxf>
      <fill>
        <patternFill>
          <bgColor rgb="FFD60093"/>
        </patternFill>
      </fill>
    </dxf>
  </rfmt>
  <rcc rId="4120" sId="1">
    <oc r="L355" t="inlineStr">
      <is>
        <t>VEM BUSCAR</t>
      </is>
    </oc>
    <nc r="L355" t="inlineStr">
      <is>
        <t>SITE</t>
      </is>
    </nc>
  </rcc>
  <rfmt sheetId="1" sqref="L204">
    <dxf>
      <fill>
        <patternFill patternType="solid">
          <bgColor rgb="FFD60093"/>
        </patternFill>
      </fill>
    </dxf>
  </rfmt>
  <rfmt sheetId="1" sqref="L107">
    <dxf>
      <fill>
        <patternFill patternType="solid">
          <bgColor rgb="FFD60093"/>
        </patternFill>
      </fill>
    </dxf>
  </rfmt>
  <rfmt sheetId="1" sqref="L90">
    <dxf>
      <fill>
        <patternFill patternType="solid">
          <bgColor rgb="FFD60093"/>
        </patternFill>
      </fill>
    </dxf>
  </rfmt>
  <rfmt sheetId="1" sqref="L136">
    <dxf>
      <fill>
        <patternFill>
          <bgColor rgb="FFD60093"/>
        </patternFill>
      </fill>
    </dxf>
  </rfmt>
  <rcc rId="4121" sId="1">
    <nc r="L364" t="inlineStr">
      <is>
        <t>SITE</t>
      </is>
    </nc>
  </rcc>
  <rcc rId="4122" sId="1">
    <nc r="L393" t="inlineStr">
      <is>
        <t>SITE</t>
      </is>
    </nc>
  </rcc>
  <rcc rId="4123" sId="1">
    <nc r="L397" t="inlineStr">
      <is>
        <t>SITE</t>
      </is>
    </nc>
  </rcc>
  <rfmt sheetId="1" sqref="L301">
    <dxf>
      <fill>
        <patternFill>
          <bgColor rgb="FFD60093"/>
        </patternFill>
      </fill>
    </dxf>
  </rfmt>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24" sId="1">
    <nc r="L384" t="inlineStr">
      <is>
        <t>SITE</t>
      </is>
    </nc>
  </rcc>
  <rcc rId="4125" sId="1">
    <nc r="L385" t="inlineStr">
      <is>
        <t>SITE</t>
      </is>
    </nc>
  </rcc>
  <rcc rId="4126" sId="1">
    <nc r="L386" t="inlineStr">
      <is>
        <t>SITE</t>
      </is>
    </nc>
  </rcc>
  <rcc rId="4127" sId="1">
    <nc r="L390" t="inlineStr">
      <is>
        <t>SITE</t>
      </is>
    </nc>
  </rcc>
  <rcc rId="4128" sId="1">
    <nc r="L394" t="inlineStr">
      <is>
        <t>SITE</t>
      </is>
    </nc>
  </rcc>
  <rcc rId="4129" sId="1">
    <nc r="L395" t="inlineStr">
      <is>
        <t>SITE</t>
      </is>
    </nc>
  </rcc>
  <rcc rId="4130" sId="1">
    <nc r="L396" t="inlineStr">
      <is>
        <t>SITE</t>
      </is>
    </nc>
  </rcc>
  <rcc rId="4131" sId="1">
    <nc r="L356" t="inlineStr">
      <is>
        <t>SITE</t>
      </is>
    </nc>
  </rcc>
  <rcc rId="4132" sId="1">
    <nc r="L371" t="inlineStr">
      <is>
        <t>SITE</t>
      </is>
    </nc>
  </rcc>
  <rcc rId="4133" sId="1">
    <nc r="L406" t="inlineStr">
      <is>
        <t>SITE</t>
      </is>
    </nc>
  </rcc>
  <rfmt sheetId="1" sqref="L412">
    <dxf>
      <fill>
        <patternFill>
          <bgColor rgb="FFD60093"/>
        </patternFill>
      </fill>
    </dxf>
  </rfmt>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15">
    <dxf>
      <fill>
        <patternFill patternType="solid">
          <bgColor rgb="FFD60093"/>
        </patternFill>
      </fill>
    </dxf>
  </rfmt>
  <rfmt sheetId="1" sqref="L30">
    <dxf>
      <fill>
        <patternFill>
          <bgColor rgb="FFD60093"/>
        </patternFill>
      </fill>
    </dxf>
  </rfmt>
  <rfmt sheetId="1" sqref="L129">
    <dxf>
      <fill>
        <patternFill>
          <bgColor rgb="FFD60093"/>
        </patternFill>
      </fill>
    </dxf>
  </rfmt>
  <rcc rId="4134" sId="1">
    <nc r="N129" t="inlineStr">
      <is>
        <t>em 03.2020 foi por email</t>
      </is>
    </nc>
  </rcc>
  <rfmt sheetId="1" sqref="L135">
    <dxf>
      <fill>
        <patternFill patternType="solid">
          <bgColor rgb="FFD60093"/>
        </patternFill>
      </fill>
    </dxf>
  </rfmt>
  <rcc rId="4135" sId="1">
    <nc r="L185" t="inlineStr">
      <is>
        <t>SITE</t>
      </is>
    </nc>
  </rcc>
  <rfmt sheetId="1" sqref="L408">
    <dxf>
      <fill>
        <patternFill>
          <bgColor rgb="FFD60093"/>
        </patternFill>
      </fill>
    </dxf>
  </rfmt>
  <rcc rId="4136" sId="1">
    <oc r="L196" t="inlineStr">
      <is>
        <t>FÍSICO</t>
      </is>
    </oc>
    <nc r="L196" t="inlineStr">
      <is>
        <t>entregar Antonio</t>
      </is>
    </nc>
  </rcc>
  <rcc rId="4137" sId="1">
    <oc r="L411" t="inlineStr">
      <is>
        <t>FÍSICO</t>
      </is>
    </oc>
    <nc r="L411" t="inlineStr">
      <is>
        <t>entregar Antonio</t>
      </is>
    </nc>
  </rcc>
  <rcc rId="4138" sId="1">
    <oc r="B408" t="inlineStr">
      <is>
        <t>LUCIA DE ARAUJO</t>
      </is>
    </oc>
    <nc r="B408" t="inlineStr">
      <is>
        <t>LUCIA DE ARAUJO PIUMA</t>
      </is>
    </nc>
  </rcc>
  <rcc rId="4139" sId="1">
    <nc r="L362" t="inlineStr">
      <is>
        <t>SITE</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Empresas'!$A$1:$N$417</formula>
    <oldFormula>'Controle Empresas'!$A$1:$N$417</oldFormula>
  </rdn>
  <rcv guid="{DAEEB123-9C5D-4BF0-8F09-E7DEBC62D826}" action="add"/>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3" sId="1">
    <nc r="N32" t="inlineStr">
      <is>
        <t>NÃO</t>
      </is>
    </nc>
  </rcc>
  <rcc rId="4144" sId="1">
    <nc r="N356" t="inlineStr">
      <is>
        <t>SIM</t>
      </is>
    </nc>
  </rcc>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5" sId="2">
    <oc r="C117" t="inlineStr">
      <is>
        <t xml:space="preserve">   PIS  SOBRE A FOLHA/ PLANO DE SAÚDE FIXO / SEGURO DE VIDA R$4,15 POR FUNCIONARIO- ENTREGAR ATÉ O DIA 30. Tem quatro Rpas ate acabar o projeto.Tem Issqn quando tiver Rpa.</t>
      </is>
    </oc>
    <nc r="C117" t="inlineStr">
      <is>
        <t xml:space="preserve">PIS  SOBRE A FOLHA
PLANO DE SAÚDE FIXO 
SEGURO DE VIDA R$4,15 POR FUNCIONARIO
ENTREGAR ATÉ O DIA 30. 
Tem quatro RPAS até acabar o projeto. Tem ISSQN quando tiver RPA:
Raquel  R$500,00
Joane R$ 1040,00
Flavia R$1248,00
Jaferson R$1040,00
</t>
      </is>
    </nc>
  </rcc>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6" sId="2">
    <oc r="C117" t="inlineStr">
      <is>
        <t xml:space="preserve">PIS  SOBRE A FOLHA
PLANO DE SAÚDE FIXO 
SEGURO DE VIDA R$4,15 POR FUNCIONARIO
ENTREGAR ATÉ O DIA 30. 
Tem quatro RPAS até acabar o projeto. Tem ISSQN quando tiver RPA:
Raquel  R$500,00
Joane R$ 1040,00
Flavia R$1248,00
Jaferson R$1040,00
</t>
      </is>
    </oc>
    <nc r="C117" t="inlineStr">
      <is>
        <t>PIS  SOBRE A FOLHA
PLANO DE SAÚDE FIXO 
SEGURO DE VIDA R$4,15 POR FUNCIONARIO
ENTREGAR ATÉ O DIA 30. 
Tem quatro RPAS até acabar o projeto. Tem ISSQN quando tiver RPA:
412 Raquel  R$500,00 – ARTESÃO BORDADOR
413 Joane R$ 1040,00 - ADVOGADO
416 Flavia R$1248,00 – PSICOLOGO CLINICO 
417 Jaferson R$1040,00 – ASSISTENTE SOCIAL 
ISSQN coloca no momento que gera o RPA, de acordo com o que elas trabalham é 5%.
Data de pagamento sempre último dia do mês.</t>
      </is>
    </nc>
  </rcc>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7" sId="2">
    <oc r="C117" t="inlineStr">
      <is>
        <t>PIS  SOBRE A FOLHA
PLANO DE SAÚDE FIXO 
SEGURO DE VIDA R$4,15 POR FUNCIONARIO
ENTREGAR ATÉ O DIA 30. 
Tem quatro RPAS até acabar o projeto. Tem ISSQN quando tiver RPA:
412 Raquel  R$500,00 – ARTESÃO BORDADOR
413 Joane R$ 1040,00 - ADVOGADO
416 Flavia R$1248,00 – PSICOLOGO CLINICO 
417 Jaferson R$1040,00 – ASSISTENTE SOCIAL 
ISSQN coloca no momento que gera o RPA, de acordo com o que elas trabalham é 5%.
Data de pagamento sempre último dia do mês.</t>
      </is>
    </oc>
    <nc r="C117" t="inlineStr">
      <is>
        <t>PIS  SOBRE A FOLHA
PLANO DE SAÚDE FIXO 
SEGURO DE VIDA R$4,15 POR FUNCIONARIO
ENTREGAR ATÉ O DIA 30. 
Tem quatro RPAS até acabar o projeto. Tem ISSQN quando tiver RPA (Valor da Guia R$191,40):
412 Raquel  R$500,00 – ARTESÃO BORDADOR
413 Joane R$ 1040,00 - ADVOGADO
416 Flavia R$1248,00 – PSICOLOGO CLINICO 
417 Jaferson R$1040,00 – ASSISTENTE SOCIAL 
ISSQN coloca no momento que gera o RPA, de acordo com o que elas trabalham é 5%.
Data de pagamento sempre último dia do mês.</t>
      </is>
    </nc>
  </rcc>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8" sId="1">
    <nc r="N404" t="inlineStr">
      <is>
        <t>NÃO</t>
      </is>
    </nc>
  </rcc>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9" sId="2">
    <oc r="C117" t="inlineStr">
      <is>
        <t>PIS  SOBRE A FOLHA
PLANO DE SAÚDE FIXO 
SEGURO DE VIDA R$4,15 POR FUNCIONARIO
ENTREGAR ATÉ O DIA 30. 
Tem quatro RPAS até acabar o projeto. Tem ISSQN quando tiver RPA (Valor da Guia R$191,40):
412 Raquel  R$500,00 – ARTESÃO BORDADOR
413 Joane R$ 1040,00 - ADVOGADO
416 Flavia R$1248,00 – PSICOLOGO CLINICO 
417 Jaferson R$1040,00 – ASSISTENTE SOCIAL 
ISSQN coloca no momento que gera o RPA, de acordo com o que elas trabalham é 5%.
Data de pagamento sempre último dia do mês.</t>
      </is>
    </oc>
    <nc r="C117" t="inlineStr">
      <is>
        <t>PIS  SOBRE A FOLHA
PLANO DE SAÚDE FIXO 
SEGURO DE VIDA R$4,15 POR FUNCIONARIO
ENTREGAR ATÉ O DIA 30. 
Tem quatro RPAS até acabar o projeto. Tem ISSQN quando tiver RPA (Valor da Guia R$191,40): 01.149.866/0001-21 CENTRO DE APOIO E SOLIDARIED` AIDS
412 Raquel  R$500,00 – ARTESÃO BORDADOR (Código do Serviço: 08.02)
413 Joane R$ 1040,00 - ADVOGADO (Código do Serviço: 17.14)
416 Flavia R$1248,00 – PSICOLOGO CLINICO (Código do Serviço: 04.16)
417 Jaferson R$1040,00 – ASSISTENTE SOCIAL 
ISSQN coloca no momento que gera o RPA, de acordo com o que elas trabalham é 5%.
Data de pagamento sempre último dia do mês.</t>
      </is>
    </nc>
  </rcc>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194">
    <dxf>
      <fill>
        <patternFill patternType="solid">
          <bgColor rgb="FFD60093"/>
        </patternFill>
      </fill>
    </dxf>
  </rfmt>
  <rfmt sheetId="1" sqref="L403">
    <dxf>
      <fill>
        <patternFill>
          <bgColor rgb="FFD60093"/>
        </patternFill>
      </fill>
    </dxf>
  </rfmt>
  <rfmt sheetId="1" sqref="L402">
    <dxf>
      <fill>
        <patternFill>
          <bgColor rgb="FFD60093"/>
        </patternFill>
      </fill>
    </dxf>
  </rfmt>
  <rfmt sheetId="1" sqref="L39">
    <dxf>
      <fill>
        <patternFill>
          <bgColor rgb="FFD60093"/>
        </patternFill>
      </fill>
    </dxf>
  </rfmt>
  <rfmt sheetId="1" sqref="L158">
    <dxf>
      <fill>
        <patternFill>
          <bgColor rgb="FFD60093"/>
        </patternFill>
      </fill>
    </dxf>
  </rfmt>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0" sId="2">
    <oc r="C117" t="inlineStr">
      <is>
        <t>PIS  SOBRE A FOLHA
PLANO DE SAÚDE FIXO 
SEGURO DE VIDA R$4,15 POR FUNCIONARIO
ENTREGAR ATÉ O DIA 30. 
Tem quatro RPAS até acabar o projeto. Tem ISSQN quando tiver RPA (Valor da Guia R$191,40): 01.149.866/0001-21 CENTRO DE APOIO E SOLIDARIED` AIDS
412 Raquel  R$500,00 – ARTESÃO BORDADOR (Código do Serviço: 08.02)
413 Joane R$ 1040,00 - ADVOGADO (Código do Serviço: 17.14)
416 Flavia R$1248,00 – PSICOLOGO CLINICO (Código do Serviço: 04.16)
417 Jaferson R$1040,00 – ASSISTENTE SOCIAL 
ISSQN coloca no momento que gera o RPA, de acordo com o que elas trabalham é 5%.
Data de pagamento sempre último dia do mês.</t>
      </is>
    </oc>
    <nc r="C117" t="inlineStr">
      <is>
        <t>PIS  SOBRE A FOLHA
PLANO DE SAÚDE FIXO 
SEGURO DE VIDA R$4,15 POR FUNCIONARIO
ENTREGAR ATÉ O DIA 30. 
Tem quatro RPAS até acabar o projeto. Tem ISSQN quando tiver RPA (Valor da Guia R$191,40): 01.149.866/0001-21 CENTRO DE APOIO E SOLIDARIED` AIDS
412 Raquel  R$500,00 – ARTESÃO BORDADOR (Código do Serviço: 08.02)
413 Joane R$ 1040,00 - ADVOGADO (Código do Serviço: 17.14)
416 Flavia R$1248,00 – PSICOLOGO CLINICO (Código do Serviço: 04.16)
417 Jaferson R$1040,00 – ASSISTENTE SOCIAL (Código do Serviço: 27.01)
ISSQN coloca no momento que gera o RPA, de acordo com o que elas trabalham é 5%.
Data de pagamento sempre último dia do mês.</t>
      </is>
    </nc>
  </rcc>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1" sId="1">
    <nc r="N23" t="inlineStr">
      <is>
        <t>SIM</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Empresas'!$A$1:$N$417</formula>
    <oldFormula>'Controle Empresas'!$A$1:$N$417</oldFormula>
  </rdn>
  <rcv guid="{590CEBDA-E7AE-4D8D-8613-56208662CCA9}"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2" customView="1" name="Z_4AD023DC_4B9E_473F_AB98_4A1747DCD454_.wvu.FilterData" hidden="1" oldHidden="1">
    <formula>Particularidade!$A$1:$D$244</formula>
  </rdn>
  <rdn rId="0" localSheetId="1" customView="1" name="Z_4AD023DC_4B9E_473F_AB98_4A1747DCD454_.wvu.FilterData" hidden="1" oldHidden="1">
    <formula>'Controle Empresas'!$A$1:$N$417</formula>
  </rdn>
  <rcv guid="{4AD023DC-4B9E-473F-AB98-4A1747DCD454}"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6" sId="1">
    <nc r="N311" t="inlineStr">
      <is>
        <t>SIM</t>
      </is>
    </nc>
  </rcc>
  <rcc rId="4157" sId="1">
    <nc r="N323" t="inlineStr">
      <is>
        <t>SIM</t>
      </is>
    </nc>
  </rcc>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32">
    <dxf>
      <fill>
        <patternFill>
          <bgColor rgb="FFD60093"/>
        </patternFill>
      </fill>
    </dxf>
  </rfmt>
  <rfmt sheetId="1" sqref="L404">
    <dxf>
      <fill>
        <patternFill>
          <bgColor rgb="FFD60093"/>
        </patternFill>
      </fill>
    </dxf>
  </rfmt>
  <rfmt sheetId="1" sqref="L211">
    <dxf>
      <fill>
        <patternFill>
          <bgColor rgb="FFD60093"/>
        </patternFill>
      </fill>
    </dxf>
  </rfmt>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8" sId="1">
    <oc r="B253" t="inlineStr">
      <is>
        <t>ARTEM MARTINS CABRAL</t>
      </is>
    </oc>
    <nc r="B253" t="inlineStr">
      <is>
        <t>ARTEM MARTINS CABRAL (GFIP 150)</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Empresas'!$A$1:$N$418</formula>
    <oldFormula>'Controle Empresas'!$A$1:$N$418</oldFormula>
  </rdn>
  <rdn rId="0" localSheetId="1" customView="1" name="Z_44627F90_111A_4938_A3EC_3F862F83F7D7_.wvu.FilterData" hidden="1" oldHidden="1">
    <formula>'Controle Empresas'!$A$1:$N$417</formula>
    <oldFormula>'Controle Empresas'!$A$1:$N$417</oldFormula>
  </rdn>
  <rcv guid="{44627F90-111A-4938-A3EC-3F862F83F7D7}"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62" sId="1">
    <nc r="N329" t="inlineStr">
      <is>
        <t>SIM</t>
      </is>
    </nc>
  </rcc>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63" sId="1">
    <nc r="N331" t="inlineStr">
      <is>
        <t>SIM</t>
      </is>
    </nc>
  </rcc>
  <rcc rId="4164" sId="1">
    <nc r="N363" t="inlineStr">
      <is>
        <t>SIM</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Empresas'!$A$1:$N$417</formula>
    <oldFormula>'Controle Empresas'!$A$1:$N$417</oldFormula>
  </rdn>
  <rcv guid="{590CEBDA-E7AE-4D8D-8613-56208662CCA9}"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67" sId="1">
    <nc r="N179" t="inlineStr">
      <is>
        <t>NÃO</t>
      </is>
    </nc>
  </rcc>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68" sId="1">
    <nc r="N190" t="inlineStr">
      <is>
        <t>NÃO</t>
      </is>
    </nc>
  </rcc>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Empresas'!$A$1:$N$417</formula>
    <oldFormula>'Controle Empresas'!$A$1:$N$417</oldFormula>
  </rdn>
  <rcv guid="{DAEEB123-9C5D-4BF0-8F09-E7DEBC62D826}"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2" sId="1">
    <oc r="M394" t="inlineStr">
      <is>
        <t xml:space="preserve">Recibo e-social (   )                                                Guia e-social (   )         desconta 6% mas não fazemos o vale </t>
      </is>
    </oc>
    <nc r="M394" t="inlineStr">
      <is>
        <t xml:space="preserve">Recibo e-social (   )                                                Guia e-social (   )         desconta 6% mas não fazemos o vale  (   ) férias antecipadas em abril </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Empresas'!$A$1:$N$417</formula>
    <oldFormula>'Controle Empresas'!$A$1:$N$417</oldFormula>
  </rdn>
  <rcv guid="{590CEBDA-E7AE-4D8D-8613-56208662CCA9}"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5" sId="1">
    <nc r="N394" t="inlineStr">
      <is>
        <t>SIM</t>
      </is>
    </nc>
  </rcc>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6" sId="1">
    <nc r="N157" t="inlineStr">
      <is>
        <t>NÃO</t>
      </is>
    </nc>
  </rcc>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7" sId="1">
    <nc r="N242" t="inlineStr">
      <is>
        <t>SIM</t>
      </is>
    </nc>
  </rcc>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8" sId="1">
    <oc r="M218" t="inlineStr">
      <is>
        <t xml:space="preserve">Folha e Pro labore (   )
INSS (   )            Plano de Saude 
FGTS e GFIP (   )                                                                                                                 Adiantamento (   )   </t>
      </is>
    </oc>
    <nc r="M218" t="inlineStr">
      <is>
        <t xml:space="preserve">Folha e Pro labore (   ) TIRAR PRO LABORE ABRIL E MAIO 
INSS (   )            Plano de Saude 
FGTS e GFIP (   )                                                                                                                 Adiantamento (   )   </t>
      </is>
    </nc>
  </rcc>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9" sId="1">
    <oc r="B253" t="inlineStr">
      <is>
        <t>ARTEM MARTINS CABRAL (GFIP 150)</t>
      </is>
    </oc>
    <nc r="B253" t="inlineStr">
      <is>
        <t xml:space="preserve"> </t>
      </is>
    </nc>
  </rcc>
  <rcc rId="4180" sId="2">
    <oc r="C165" t="inlineStr">
      <is>
        <r>
          <t xml:space="preserve">• MENSALMENTE PASSA POR EMAIL O VALOR DO PREMIO 
• FAZER RECIBO DA ASTRANSP - CNPJ 17570395000160 - SENHA 12345 </t>
        </r>
        <r>
          <rPr>
            <sz val="10"/>
            <color rgb="FFFF0000"/>
            <rFont val="Calibri"/>
            <family val="2"/>
          </rPr>
          <t>(Não tem funcionário com vale transporte)</t>
        </r>
        <r>
          <rPr>
            <sz val="10"/>
            <rFont val="Calibri"/>
            <family val="2"/>
          </rPr>
          <t xml:space="preserve"> *PLANO DE SAUDE DOS SOCIOS lançar co-participação para a funcionária ( MARIA) a empresa paga a mensalidade dela. Lançar plano para sócios e dependentes separados.passa os valor da comissão juntamente com o dsr fazer a separação na planilha em P:\documentos\OneDrive - Novus Contabilidade\Doc Compartilhado\Pessoal\Relatórios Sefip\Prime Tech\2019 jogando o valor até o total dar proximo do lançamento da empresa. Plano de saude unimed é o cpf do wagner.</t>
        </r>
      </is>
    </oc>
    <nc r="C165" t="inlineStr">
      <is>
        <t xml:space="preserve">* MENSALMENTE PASSA POR EMAIL O VALOR DO PREMIO (Guilherme)
* FAZER RECIBO DA ASTRANSP - CNPJ 17570395000160 - SENHA 12345 (Não tem funcionário com vale transporte) 
* PLANO DE SAUDE DOS SOCIOS lançar co-participação para a funcionária (MARIA) a empresa paga a mensalidade dela. 
* Plano de saude unimed é o CPF do wagner 81097263053.
* Lançar plano para sócios e dependentes separados.
* Passa os valor da comissão juntamente com o DSR fazer a separação na planilha em P:\documentos\OneDrive - Novus Contabilidade\Doc Compartilhado\Pessoal\Relatórios Sefip\Prime Tech\2019 jogando o valor até o total dar proximo do lançamento da empresa.
</t>
      </is>
    </nc>
  </rcc>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81" sId="1">
    <oc r="B253" t="inlineStr">
      <is>
        <t xml:space="preserve"> </t>
      </is>
    </oc>
    <nc r="B253" t="inlineStr">
      <is>
        <t>ARTEM MARTINS CABRAL (A M CABRAL)</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Empresas'!$A$1:$N$418</formula>
    <oldFormula>'Controle Empresas'!$A$1:$N$418</oldFormula>
  </rdn>
  <rdn rId="0" localSheetId="1" customView="1" name="Z_44627F90_111A_4938_A3EC_3F862F83F7D7_.wvu.FilterData" hidden="1" oldHidden="1">
    <formula>'Controle Empresas'!$A$1:$N$417</formula>
    <oldFormula>'Controle Empresas'!$A$1:$N$417</oldFormula>
  </rdn>
  <rcv guid="{44627F90-111A-4938-A3EC-3F862F83F7D7}"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85" sId="1">
    <nc r="N147" t="inlineStr">
      <is>
        <t>SIM</t>
      </is>
    </nc>
  </rcc>
  <rcc rId="4186" sId="1">
    <nc r="N158" t="inlineStr">
      <is>
        <t>SIM</t>
      </is>
    </nc>
  </rcc>
  <rcc rId="4187" sId="1">
    <nc r="N194" t="inlineStr">
      <is>
        <t>SIM</t>
      </is>
    </nc>
  </rcc>
  <rcc rId="4188" sId="1">
    <nc r="N396" t="inlineStr">
      <is>
        <t>SIM</t>
      </is>
    </nc>
  </rcc>
  <rcc rId="4189" sId="1">
    <nc r="N402" t="inlineStr">
      <is>
        <t>SIM</t>
      </is>
    </nc>
  </rcc>
  <rcv guid="{DFB7C661-5C1D-4491-B5BB-D24125818F62}" action="delete"/>
  <rdn rId="0" localSheetId="2" customView="1" name="Z_DFB7C661_5C1D_4491_B5BB_D24125818F62_.wvu.FilterData" hidden="1" oldHidden="1">
    <formula>Particularidade!$A$1:$D$244</formula>
    <oldFormula>Particularidade!$A$1:$D$244</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Empresas'!$A$1:$N$417</formula>
    <oldFormula>'Controle Empresas'!$A$1:$N$417</oldFormula>
  </rdn>
  <rcv guid="{DFB7C661-5C1D-4491-B5BB-D24125818F62}"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3" sId="1">
    <nc r="N9" t="inlineStr">
      <is>
        <t>NÃO</t>
      </is>
    </nc>
  </rcc>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4" sId="1">
    <oc r="M106" t="inlineStr">
      <is>
        <t xml:space="preserve">Folha e pro labore (   )
INSS (   )      (    ) GUIA IR    GFIP (   ) 
MENSALMENTE PASSA  EMAIL (Guilherme)                                                                                                              </t>
      </is>
    </oc>
    <nc r="M106" t="inlineStr">
      <is>
        <t xml:space="preserve">Folha e pro labore (   ) Mandar separadamente os recibos 
INSS (   )      (    ) GUIA IR    GFIP (   ) 
MENSALMENTE PASSA  EMAIL (Guilherme)                                                                                                              </t>
      </is>
    </nc>
  </rcc>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FB7C661-5C1D-4491-B5BB-D24125818F62}" action="delete"/>
  <rdn rId="0" localSheetId="2" customView="1" name="Z_DFB7C661_5C1D_4491_B5BB_D24125818F62_.wvu.FilterData" hidden="1" oldHidden="1">
    <formula>Particularidade!$A$1:$D$244</formula>
    <oldFormula>Particularidade!$A$1:$D$244</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Empresas'!$A$1:$N$417</formula>
    <oldFormula>'Controle Empresas'!$A$1:$N$417</oldFormula>
  </rdn>
  <rcv guid="{DFB7C661-5C1D-4491-B5BB-D24125818F62}" action="add"/>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8" sId="1">
    <oc r="N87" t="inlineStr">
      <is>
        <t>SIM</t>
      </is>
    </oc>
    <nc r="N87" t="inlineStr">
      <is>
        <t>NÃO</t>
      </is>
    </nc>
  </rcc>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9" sId="1">
    <oc r="M376" t="inlineStr">
      <is>
        <t xml:space="preserve">Folha e Pro labore (   )                                
INSS (   )
GFIP (  )   10.2019 sem movimento
</t>
      </is>
    </oc>
    <nc r="M376" t="inlineStr">
      <is>
        <r>
          <t xml:space="preserve">Folha e Pro labore (   )                                
INSS (   )
GFIP (  )   </t>
        </r>
        <r>
          <rPr>
            <sz val="10"/>
            <color rgb="FF00B0F0"/>
            <rFont val="Arial"/>
            <family val="2"/>
          </rPr>
          <t>10.2019 sem movimento</t>
        </r>
        <r>
          <rPr>
            <sz val="10"/>
            <rFont val="Arial"/>
            <family val="2"/>
          </rPr>
          <t xml:space="preserve">
</t>
        </r>
      </is>
    </nc>
  </rcc>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00" sId="1">
    <nc r="N70" t="inlineStr">
      <is>
        <t>SIM</t>
      </is>
    </nc>
  </rcc>
  <rcc rId="4201" sId="1">
    <nc r="N160" t="inlineStr">
      <is>
        <t>SIM</t>
      </is>
    </nc>
  </rcc>
  <rcc rId="4202" sId="1">
    <nc r="N180" t="inlineStr">
      <is>
        <t>SIM</t>
      </is>
    </nc>
  </rcc>
  <rcc rId="4203" sId="1">
    <nc r="N228" t="inlineStr">
      <is>
        <t xml:space="preserve">SIM </t>
      </is>
    </nc>
  </rcc>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04" sId="2">
    <nc r="C521" t="inlineStr">
      <is>
        <t>Apenas o Isaias tem insalubridade e o Fernando tem comissão.</t>
      </is>
    </nc>
  </rcc>
  <rcc rId="4205" sId="1">
    <oc r="M384" t="inlineStr">
      <is>
        <r>
          <t xml:space="preserve">Pro labore (   )  
INSS (   )
GFIP (   )                 Inicio 11/2019  CONFIRMAR SE TEVE NF PRA EMITIR </t>
        </r>
        <r>
          <rPr>
            <sz val="10"/>
            <color rgb="FFFF0000"/>
            <rFont val="Arial"/>
            <family val="2"/>
          </rPr>
          <t>S/M</t>
        </r>
      </is>
    </oc>
    <nc r="M384" t="inlineStr">
      <is>
        <t>Pro labore (   )  
INSS (   )
GFIP (   )   Tem comissão (fernando)</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Empresas'!$A$1:$N$418</formula>
    <oldFormula>'Controle Empresas'!$A$1:$N$418</oldFormula>
  </rdn>
  <rdn rId="0" localSheetId="1" customView="1" name="Z_44627F90_111A_4938_A3EC_3F862F83F7D7_.wvu.FilterData" hidden="1" oldHidden="1">
    <formula>'Controle Empresas'!$A$1:$N$417</formula>
    <oldFormula>'Controle Empresas'!$A$1:$N$417</oldFormula>
  </rdn>
  <rcv guid="{44627F90-111A-4938-A3EC-3F862F83F7D7}" action="add"/>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09" sId="1">
    <nc r="N264" t="inlineStr">
      <is>
        <t xml:space="preserve">SIM </t>
      </is>
    </nc>
  </rcc>
  <rcc rId="4210" sId="1">
    <nc r="N289" t="inlineStr">
      <is>
        <t xml:space="preserve">SIM </t>
      </is>
    </nc>
  </rcc>
  <rcc rId="4211" sId="1">
    <nc r="N343" t="inlineStr">
      <is>
        <t xml:space="preserve">SIM </t>
      </is>
    </nc>
  </rcc>
  <rcc rId="4212" sId="1">
    <nc r="N351" t="inlineStr">
      <is>
        <t xml:space="preserve">SIM </t>
      </is>
    </nc>
  </rcc>
  <rcc rId="4213" sId="1">
    <nc r="N380" t="inlineStr">
      <is>
        <t xml:space="preserve">SIM </t>
      </is>
    </nc>
  </rcc>
  <rcc rId="4214" sId="1">
    <nc r="N384" t="inlineStr">
      <is>
        <t>SIM</t>
      </is>
    </nc>
  </rcc>
  <rcc rId="4215" sId="1">
    <oc r="N393" t="inlineStr">
      <is>
        <t xml:space="preserve">sim </t>
      </is>
    </oc>
    <nc r="N393" t="inlineStr">
      <is>
        <t xml:space="preserve">SIM </t>
      </is>
    </nc>
  </rcc>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6" sId="1">
    <oc r="H118" t="inlineStr">
      <is>
        <t>SAIU/BAIXADO</t>
      </is>
    </oc>
    <nc r="H118" t="inlineStr">
      <is>
        <t>S/M</t>
      </is>
    </nc>
  </rcc>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S1" start="0" length="0">
    <dxf>
      <numFmt numFmtId="19" formatCode="dd/mm/yyyy"/>
    </dxf>
  </rfmt>
  <rfmt sheetId="1" sqref="U1" start="0" length="0">
    <dxf>
      <numFmt numFmtId="19" formatCode="dd/mm/yyyy"/>
    </dxf>
  </rfmt>
  <rcc rId="4217" sId="1">
    <nc r="N40" t="inlineStr">
      <is>
        <t>NÃO</t>
      </is>
    </nc>
  </rcc>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B1 G1:XFD1 A7:B7 G7:XFD7 A23:B23 G23:XFD23 A78:B78 G78:XFD78 A90:B90 G90:XFD90 A94:B94 G94:XFD94 A111:B111 G111:XFD111 A116:B116 G116:XFD116 A128:B128 G128:XFD128 A146:B147 G146:XFD147 A158:B158 G158:XFD158 A194:B195 G194:XFD195 A206:B206 G206:XFD206 A214:B214 G214:XFD214 A221:B221 G221:XFD221 A223:B223 G223:XFD223 A236:B236 G236:XFD236 A256:B256 G256:XFD256 A259:B259 G259:XFD259 A271:B271 G271:XFD271 A277:B278 G277:XFD278 A286:B286 G286:XFD286 A298:B298 G298:XFD298 A304:B304 G304:XFD304 A312:B312 G312:XFD312 A333:B333 G333:XFD333 A391:B391 G391:XFD391 A396:B396 G396:XFD396 A402:B402 G402:XFD402 A418:B1048576 G418:XFD1048576" start="0" length="2147483647">
    <dxf>
      <font>
        <sz val="12"/>
      </font>
    </dxf>
  </rfmt>
  <rfmt sheetId="1" sqref="A1:B1 G1:XFD1 A7:B7 G7:XFD7 A23:B23 G23:XFD23 A78:B78 G78:XFD78 A90:B90 G90:XFD90 A94:B94 G94:XFD94 A111:B111 G111:XFD111 A116:B116 G116:XFD116 A128:B128 G128:XFD128 A146:B147 G146:XFD147 A158:B158 G158:XFD158 A194:B195 G194:XFD195 A206:B206 G206:XFD206 A214:B214 G214:XFD214 A221:B221 G221:XFD221 A223:B223 G223:XFD223 A236:B236 G236:XFD236 A256:B256 G256:XFD256 A259:B259 G259:XFD259 A271:B271 G271:XFD271 A277:B278 G277:XFD278 A286:B286 G286:XFD286 A298:B298 G298:XFD298 A304:B304 G304:XFD304 A312:B312 G312:XFD312 A333:B333 G333:XFD333 A391:B391 G391:XFD391 A396:B396 G396:XFD396 A402:B402 G402:XFD402 A418:B1048576 G418:XFD1048576" start="0" length="2147483647">
    <dxf>
      <font>
        <sz val="11"/>
      </font>
    </dxf>
  </rfmt>
  <rfmt sheetId="1" sqref="A1:B1 G1:XFD1 A7:B7 G7:XFD7 A23:B23 G23:XFD23 A78:B78 G78:XFD78 A90:B90 G90:XFD90 A94:B94 G94:XFD94 A111:B111 G111:XFD111 A116:B116 G116:XFD116 A128:B128 G128:XFD128 A146:B147 G146:XFD147 A158:B158 G158:XFD158 A194:B195 G194:XFD195 A206:B206 G206:XFD206 A214:B214 G214:XFD214 A221:B221 G221:XFD221 A223:B223 G223:XFD223 A236:B236 G236:XFD236 A256:B256 G256:XFD256 A259:B259 G259:XFD259 A271:B271 G271:XFD271 A277:B278 G277:XFD278 A286:B286 G286:XFD286 A298:B298 G298:XFD298 A304:B304 G304:XFD304 A312:B312 G312:XFD312 A333:B333 G333:XFD333 A391:B391 G391:XFD391 A396:B396 G396:XFD396 A402:B402 G402:XFD402 A418:B1048576 G418:XFD1048576" start="0" length="2147483647">
    <dxf>
      <font>
        <name val="Courier New"/>
        <scheme val="none"/>
      </font>
    </dxf>
  </rfmt>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Empresas'!$A$1:$N$417</formula>
    <oldFormula>'Controle Empresas'!$A$1:$N$417</oldFormula>
  </rdn>
  <rcv guid="{DAEEB123-9C5D-4BF0-8F09-E7DEBC62D826}" action="add"/>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1">
    <dxf>
      <alignment wrapText="1" readingOrder="0"/>
    </dxf>
  </rfmt>
  <rfmt sheetId="1" sqref="N1" start="0" length="0">
    <dxf>
      <border>
        <left style="thin">
          <color indexed="64"/>
        </left>
        <right style="thin">
          <color indexed="64"/>
        </right>
        <top style="thin">
          <color indexed="64"/>
        </top>
        <bottom style="thin">
          <color indexed="64"/>
        </bottom>
      </border>
    </dxf>
  </rfmt>
  <rfmt sheetId="1" sqref="N7" start="0" length="0">
    <dxf>
      <border>
        <left style="thin">
          <color indexed="64"/>
        </left>
        <right style="thin">
          <color indexed="64"/>
        </right>
        <top style="thin">
          <color indexed="64"/>
        </top>
        <bottom style="thin">
          <color indexed="64"/>
        </bottom>
      </border>
    </dxf>
  </rfmt>
  <rfmt sheetId="1" sqref="N23" start="0" length="0">
    <dxf>
      <border>
        <left style="thin">
          <color indexed="64"/>
        </left>
        <right style="thin">
          <color indexed="64"/>
        </right>
        <top style="thin">
          <color indexed="64"/>
        </top>
        <bottom style="thin">
          <color indexed="64"/>
        </bottom>
      </border>
    </dxf>
  </rfmt>
  <rfmt sheetId="1" sqref="N78" start="0" length="0">
    <dxf>
      <border>
        <left style="thin">
          <color indexed="64"/>
        </left>
        <right style="thin">
          <color indexed="64"/>
        </right>
        <top style="thin">
          <color indexed="64"/>
        </top>
        <bottom style="thin">
          <color indexed="64"/>
        </bottom>
      </border>
    </dxf>
  </rfmt>
  <rfmt sheetId="1" sqref="N90" start="0" length="0">
    <dxf>
      <border>
        <left style="thin">
          <color indexed="64"/>
        </left>
        <right style="thin">
          <color indexed="64"/>
        </right>
        <top style="thin">
          <color indexed="64"/>
        </top>
        <bottom style="thin">
          <color indexed="64"/>
        </bottom>
      </border>
    </dxf>
  </rfmt>
  <rfmt sheetId="1" sqref="N94" start="0" length="0">
    <dxf>
      <border>
        <left style="thin">
          <color indexed="64"/>
        </left>
        <right style="thin">
          <color indexed="64"/>
        </right>
        <top style="thin">
          <color indexed="64"/>
        </top>
        <bottom style="thin">
          <color indexed="64"/>
        </bottom>
      </border>
    </dxf>
  </rfmt>
  <rfmt sheetId="1" sqref="N111" start="0" length="0">
    <dxf>
      <border>
        <left style="thin">
          <color indexed="64"/>
        </left>
        <right style="thin">
          <color indexed="64"/>
        </right>
        <top style="thin">
          <color indexed="64"/>
        </top>
        <bottom style="thin">
          <color indexed="64"/>
        </bottom>
      </border>
    </dxf>
  </rfmt>
  <rfmt sheetId="1" sqref="N116" start="0" length="0">
    <dxf>
      <border>
        <left style="thin">
          <color indexed="64"/>
        </left>
        <right style="thin">
          <color indexed="64"/>
        </right>
        <top style="thin">
          <color indexed="64"/>
        </top>
        <bottom style="thin">
          <color indexed="64"/>
        </bottom>
      </border>
    </dxf>
  </rfmt>
  <rfmt sheetId="1" sqref="N128" start="0" length="0">
    <dxf>
      <border>
        <left style="thin">
          <color indexed="64"/>
        </left>
        <right style="thin">
          <color indexed="64"/>
        </right>
        <top style="thin">
          <color indexed="64"/>
        </top>
        <bottom style="thin">
          <color indexed="64"/>
        </bottom>
      </border>
    </dxf>
  </rfmt>
  <rfmt sheetId="1" sqref="N146" start="0" length="0">
    <dxf>
      <border>
        <top style="thin">
          <color indexed="64"/>
        </top>
      </border>
    </dxf>
  </rfmt>
  <rfmt sheetId="1" sqref="N146:N147" start="0" length="0">
    <dxf>
      <border>
        <right style="thin">
          <color indexed="64"/>
        </right>
      </border>
    </dxf>
  </rfmt>
  <rfmt sheetId="1" sqref="N147" start="0" length="0">
    <dxf>
      <border>
        <bottom style="thin">
          <color indexed="64"/>
        </bottom>
      </border>
    </dxf>
  </rfmt>
  <rfmt sheetId="1" sqref="N158" start="0" length="0">
    <dxf>
      <border>
        <left style="thin">
          <color indexed="64"/>
        </left>
        <right style="thin">
          <color indexed="64"/>
        </right>
        <top style="thin">
          <color indexed="64"/>
        </top>
        <bottom style="thin">
          <color indexed="64"/>
        </bottom>
      </border>
    </dxf>
  </rfmt>
  <rfmt sheetId="1" sqref="N194" start="0" length="0">
    <dxf>
      <border>
        <top style="thin">
          <color indexed="64"/>
        </top>
      </border>
    </dxf>
  </rfmt>
  <rfmt sheetId="1" sqref="N194:N195" start="0" length="0">
    <dxf>
      <border>
        <right style="thin">
          <color indexed="64"/>
        </right>
      </border>
    </dxf>
  </rfmt>
  <rfmt sheetId="1" sqref="N195" start="0" length="0">
    <dxf>
      <border>
        <bottom style="thin">
          <color indexed="64"/>
        </bottom>
      </border>
    </dxf>
  </rfmt>
  <rfmt sheetId="1" sqref="N206" start="0" length="0">
    <dxf>
      <border>
        <left style="thin">
          <color indexed="64"/>
        </left>
        <right style="thin">
          <color indexed="64"/>
        </right>
        <top style="thin">
          <color indexed="64"/>
        </top>
        <bottom style="thin">
          <color indexed="64"/>
        </bottom>
      </border>
    </dxf>
  </rfmt>
  <rfmt sheetId="1" sqref="N214" start="0" length="0">
    <dxf>
      <border>
        <left style="thin">
          <color indexed="64"/>
        </left>
        <right style="thin">
          <color indexed="64"/>
        </right>
        <top style="thin">
          <color indexed="64"/>
        </top>
        <bottom style="thin">
          <color indexed="64"/>
        </bottom>
      </border>
    </dxf>
  </rfmt>
  <rfmt sheetId="1" sqref="N221" start="0" length="0">
    <dxf>
      <border>
        <left style="thin">
          <color indexed="64"/>
        </left>
        <right style="thin">
          <color indexed="64"/>
        </right>
        <top style="thin">
          <color indexed="64"/>
        </top>
        <bottom style="thin">
          <color indexed="64"/>
        </bottom>
      </border>
    </dxf>
  </rfmt>
  <rfmt sheetId="1" sqref="N223" start="0" length="0">
    <dxf>
      <border>
        <left style="thin">
          <color indexed="64"/>
        </left>
        <right style="thin">
          <color indexed="64"/>
        </right>
        <top style="thin">
          <color indexed="64"/>
        </top>
        <bottom style="thin">
          <color indexed="64"/>
        </bottom>
      </border>
    </dxf>
  </rfmt>
  <rfmt sheetId="1" sqref="N236" start="0" length="0">
    <dxf>
      <border>
        <left style="thin">
          <color indexed="64"/>
        </left>
        <right style="thin">
          <color indexed="64"/>
        </right>
        <top style="thin">
          <color indexed="64"/>
        </top>
        <bottom style="thin">
          <color indexed="64"/>
        </bottom>
      </border>
    </dxf>
  </rfmt>
  <rfmt sheetId="1" sqref="N256" start="0" length="0">
    <dxf>
      <border>
        <left style="thin">
          <color indexed="64"/>
        </left>
        <right style="thin">
          <color indexed="64"/>
        </right>
        <top style="thin">
          <color indexed="64"/>
        </top>
        <bottom style="thin">
          <color indexed="64"/>
        </bottom>
      </border>
    </dxf>
  </rfmt>
  <rfmt sheetId="1" sqref="N259" start="0" length="0">
    <dxf>
      <border>
        <left style="thin">
          <color indexed="64"/>
        </left>
        <right style="thin">
          <color indexed="64"/>
        </right>
        <top style="thin">
          <color indexed="64"/>
        </top>
        <bottom style="thin">
          <color indexed="64"/>
        </bottom>
      </border>
    </dxf>
  </rfmt>
  <rfmt sheetId="1" sqref="N271" start="0" length="0">
    <dxf>
      <border>
        <left style="thin">
          <color indexed="64"/>
        </left>
        <right style="thin">
          <color indexed="64"/>
        </right>
        <top style="thin">
          <color indexed="64"/>
        </top>
        <bottom style="thin">
          <color indexed="64"/>
        </bottom>
      </border>
    </dxf>
  </rfmt>
  <rfmt sheetId="1" sqref="N277" start="0" length="0">
    <dxf>
      <border>
        <top style="thin">
          <color indexed="64"/>
        </top>
      </border>
    </dxf>
  </rfmt>
  <rfmt sheetId="1" sqref="N277:N278" start="0" length="0">
    <dxf>
      <border>
        <right style="thin">
          <color indexed="64"/>
        </right>
      </border>
    </dxf>
  </rfmt>
  <rfmt sheetId="1" sqref="N278" start="0" length="0">
    <dxf>
      <border>
        <bottom style="thin">
          <color indexed="64"/>
        </bottom>
      </border>
    </dxf>
  </rfmt>
  <rfmt sheetId="1" sqref="N286" start="0" length="0">
    <dxf>
      <border>
        <left style="thin">
          <color indexed="64"/>
        </left>
        <right style="thin">
          <color indexed="64"/>
        </right>
        <top style="thin">
          <color indexed="64"/>
        </top>
        <bottom style="thin">
          <color indexed="64"/>
        </bottom>
      </border>
    </dxf>
  </rfmt>
  <rfmt sheetId="1" sqref="N298" start="0" length="0">
    <dxf>
      <border>
        <left style="thin">
          <color indexed="64"/>
        </left>
        <right style="thin">
          <color indexed="64"/>
        </right>
        <top style="thin">
          <color indexed="64"/>
        </top>
        <bottom style="thin">
          <color indexed="64"/>
        </bottom>
      </border>
    </dxf>
  </rfmt>
  <rfmt sheetId="1" sqref="N304" start="0" length="0">
    <dxf>
      <border>
        <left style="thin">
          <color indexed="64"/>
        </left>
        <right style="thin">
          <color indexed="64"/>
        </right>
        <top style="thin">
          <color indexed="64"/>
        </top>
        <bottom style="thin">
          <color indexed="64"/>
        </bottom>
      </border>
    </dxf>
  </rfmt>
  <rfmt sheetId="1" sqref="N312" start="0" length="0">
    <dxf>
      <border>
        <left style="thin">
          <color indexed="64"/>
        </left>
        <right style="thin">
          <color indexed="64"/>
        </right>
        <top style="thin">
          <color indexed="64"/>
        </top>
        <bottom style="thin">
          <color indexed="64"/>
        </bottom>
      </border>
    </dxf>
  </rfmt>
  <rfmt sheetId="1" sqref="N333" start="0" length="0">
    <dxf>
      <border>
        <left style="thin">
          <color indexed="64"/>
        </left>
        <right style="thin">
          <color indexed="64"/>
        </right>
        <top style="thin">
          <color indexed="64"/>
        </top>
        <bottom style="thin">
          <color indexed="64"/>
        </bottom>
      </border>
    </dxf>
  </rfmt>
  <rfmt sheetId="1" sqref="N391" start="0" length="0">
    <dxf>
      <border>
        <left style="thin">
          <color indexed="64"/>
        </left>
        <right style="thin">
          <color indexed="64"/>
        </right>
        <top style="thin">
          <color indexed="64"/>
        </top>
        <bottom style="thin">
          <color indexed="64"/>
        </bottom>
      </border>
    </dxf>
  </rfmt>
  <rfmt sheetId="1" sqref="N396" start="0" length="0">
    <dxf>
      <border>
        <left style="thin">
          <color indexed="64"/>
        </left>
        <right style="thin">
          <color indexed="64"/>
        </right>
        <top style="thin">
          <color indexed="64"/>
        </top>
        <bottom style="thin">
          <color indexed="64"/>
        </bottom>
      </border>
    </dxf>
  </rfmt>
  <rfmt sheetId="1" sqref="N402" start="0" length="0">
    <dxf>
      <border>
        <left style="thin">
          <color indexed="64"/>
        </left>
        <right style="thin">
          <color indexed="64"/>
        </right>
        <top style="thin">
          <color indexed="64"/>
        </top>
        <bottom style="thin">
          <color indexed="64"/>
        </bottom>
      </border>
    </dxf>
  </rfmt>
  <rfmt sheetId="1" sqref="N418" start="0" length="0">
    <dxf>
      <border>
        <left style="thin">
          <color indexed="64"/>
        </left>
        <right style="thin">
          <color indexed="64"/>
        </right>
        <top style="thin">
          <color indexed="64"/>
        </top>
        <bottom style="thin">
          <color indexed="64"/>
        </bottom>
      </border>
    </dxf>
  </rfmt>
  <rfmt sheetId="1" sqref="N1 N7 N23 N78 N90 N94 N111 N116 N128 N146:N147 N158 N194:N195 N206 N214 N221 N223 N236 N256 N259 N271 N277:N278 N286 N298 N304 N312 N333 N391 N396 N402 N418">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I1 I7 I23 I78 I90 I94 I111 I116 I128 I146:I147 I158 I194:I195 I206 I214 I221 I223 I236 I256 I259 I271 I277:I278 I286 I298 I304 I312 I333 I391 I396 I402 I418:I1048576">
    <dxf>
      <fill>
        <patternFill>
          <bgColor theme="0"/>
        </patternFill>
      </fill>
    </dxf>
  </rfmt>
  <rfmt sheetId="1" sqref="G206" start="0" length="0">
    <dxf>
      <fill>
        <patternFill>
          <bgColor rgb="FFCC3399"/>
        </patternFill>
      </fill>
      <border outline="0">
        <bottom style="thin">
          <color indexed="64"/>
        </bottom>
      </border>
    </dxf>
  </rfmt>
  <rfmt sheetId="1" sqref="G214" start="0" length="0">
    <dxf>
      <font>
        <b val="0"/>
        <color auto="1"/>
        <name val="Courier New"/>
        <scheme val="none"/>
      </font>
      <border outline="0">
        <bottom style="thin">
          <color indexed="64"/>
        </bottom>
      </border>
    </dxf>
  </rfmt>
  <rfmt sheetId="1" sqref="G236" start="0" length="0">
    <dxf>
      <fill>
        <patternFill>
          <bgColor rgb="FFCC3399"/>
        </patternFill>
      </fill>
    </dxf>
  </rfmt>
  <rfmt sheetId="1" sqref="G391" start="0" length="0">
    <dxf>
      <font>
        <b val="0"/>
        <color auto="1"/>
        <name val="Courier New"/>
        <scheme val="none"/>
      </font>
      <fill>
        <patternFill>
          <bgColor rgb="FFCC3399"/>
        </patternFill>
      </fill>
    </dxf>
  </rfmt>
  <rcc rId="4221" sId="1" odxf="1" dxf="1">
    <oc r="G28" t="inlineStr">
      <is>
        <t>THAI</t>
      </is>
    </oc>
    <nc r="G28" t="inlineStr">
      <is>
        <t>IASK</t>
      </is>
    </nc>
    <ndxf>
      <font>
        <b val="0"/>
        <sz val="9"/>
        <color auto="1"/>
        <name val="Courier New"/>
        <scheme val="none"/>
      </font>
      <fill>
        <patternFill>
          <bgColor rgb="FFCC3399"/>
        </patternFill>
      </fill>
      <border outline="0">
        <bottom style="thin">
          <color indexed="64"/>
        </bottom>
      </border>
    </ndxf>
  </rcc>
  <rcc rId="4222" sId="1" odxf="1" dxf="1">
    <oc r="G403" t="inlineStr">
      <is>
        <t>THAI</t>
      </is>
    </oc>
    <nc r="G403" t="inlineStr">
      <is>
        <t>IASK</t>
      </is>
    </nc>
    <ndxf>
      <font>
        <b val="0"/>
        <sz val="9"/>
        <color auto="1"/>
        <name val="Courier New"/>
        <scheme val="none"/>
      </font>
      <fill>
        <patternFill>
          <bgColor rgb="FFCC3399"/>
        </patternFill>
      </fill>
      <border outline="0">
        <bottom style="thin">
          <color indexed="64"/>
        </bottom>
      </border>
    </ndxf>
  </rcc>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B1 G1:XFD1 G418:XFD1048576 A418:B1048576 A7:B7 G7:XFD7 A23:B23 G23:XFD23 A78:B78 G78:XFD78 A90:B90 G90:XFD90 A94:B94 G94:XFD94 A111:B111 G111:XFD111 A116:B116 G116:XFD116 A128:B128 G128:XFD128 A146:B147 G146:XFD147 A158:B158 G158:XFD158 A194:B195 G194:XFD195 A206:B206 G206:XFD206 A214:B214 G214:XFD214 A221:B221 G221:XFD221 G402:XFD402 A402:B402 A236:B236 G236:XFD236 A256:B256 G256:XFD256 A259:B259 G259:XFD259 A271:B271 G271:XFD271 A277:B278 G277:XFD278 A286:B286 G286:XFD286 A298:B298 G298:XFD298 A304:B304 G304:XFD304 A312:B312 G312:XFD312 A333:B333 G333:XFD333 A391:B391 G391:XFD391 A396:B396 G396:XFD396 A28:B28 G28:XFD28 A223:B223 A403:B403 G223:XFD223 G403:XFD403" start="0" length="2147483647">
    <dxf>
      <font>
        <sz val="12"/>
      </font>
    </dxf>
  </rfmt>
  <rfmt sheetId="1" sqref="A1:B1 G1:XFD1 G418:XFD1048576 A418:B1048576 A7:B7 G7:XFD7 A23:B23 G23:XFD23 A78:B78 G78:XFD78 A90:B90 G90:XFD90 A94:B94 G94:XFD94 A111:B111 G111:XFD111 A116:B116 G116:XFD116 A128:B128 G128:XFD128 A146:B147 G146:XFD147 A158:B158 G158:XFD158 A194:B195 G194:XFD195 A206:B206 G206:XFD206 A214:B214 G214:XFD214 A221:B221 G221:XFD221 G402:XFD402 A402:B402 A236:B236 G236:XFD236 A256:B256 G256:XFD256 A259:B259 G259:XFD259 A271:B271 G271:XFD271 A277:B278 G277:XFD278 A286:B286 G286:XFD286 A298:B298 G298:XFD298 A304:B304 G304:XFD304 A312:B312 G312:XFD312 A333:B333 G333:XFD333 A391:B391 G391:XFD391 A396:B396 G396:XFD396 A28:B28 G28:XFD28 A223:B223 A403:B403 G223:XFD223 G403:XFD403" start="0" length="2147483647">
    <dxf>
      <font>
        <sz val="10"/>
      </font>
    </dxf>
  </rfmt>
  <rfmt sheetId="1" sqref="A1:B1 G1:XFD1 G418:XFD1048576 A418:B1048576 A7:B7 G7:XFD7 A23:B23 G23:XFD23 A78:B78 G78:XFD78 A90:B90 G90:XFD90 A94:B94 G94:XFD94 A111:B111 G111:XFD111 A116:B116 G116:XFD116 A128:B128 G128:XFD128 A146:B147 G146:XFD147 A158:B158 G158:XFD158 A194:B195 G194:XFD195 A206:B206 G206:XFD206 A214:B214 G214:XFD214 A221:B221 G221:XFD221 G402:XFD402 A402:B402 A236:B236 G236:XFD236 A256:B256 G256:XFD256 A259:B259 G259:XFD259 A271:B271 G271:XFD271 A277:B278 G277:XFD278 A286:B286 G286:XFD286 A298:B298 G298:XFD298 A304:B304 G304:XFD304 A312:B312 G312:XFD312 A333:B333 G333:XFD333 A391:B391 G391:XFD391 A396:B396 G396:XFD396 A28:B28 G28:XFD28 A223:B223 A403:B403 G223:XFD223 G403:XFD403" start="0" length="2147483647">
    <dxf>
      <font>
        <sz val="11"/>
      </font>
    </dxf>
  </rfmt>
  <rfmt sheetId="1" sqref="B1 G1:L1 G418:L1048576 B418:B1048576 B7 G7:L7 B23 G23:L23 B78 G78:L78 B90 G90:L90 B94 G94:L94 B111 G111:L111 B116 G116:L116 B128 G128:L128 B146:B147 G146:L147 B158 G158:L158 B194:B195 G194:L195 B206 G206:L206 B214 G214:L214 B221 G221:L221 G402:L402 B402 B236 G236:L236 B256 G256:L256 B259 G259:L259 B271 G271:L271 B277:B278 G277:L278 B286 G286:L286 B298 G298:L298 B304 G304:L304 B312 G312:L312 B333 G333:L333 B391 G391:L391 B396 G396:L396 B28 G28:L28 B223 B403 G223:L223 G403:L403" start="0" length="2147483647">
    <dxf>
      <font>
        <sz val="10"/>
      </font>
    </dxf>
  </rfmt>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23" sId="1">
    <oc r="E344" t="inlineStr">
      <is>
        <t>Data Base: Maio</t>
      </is>
    </oc>
    <nc r="E344" t="inlineStr">
      <is>
        <t>Comercio Hoteleiro - Data Base: Maio</t>
      </is>
    </nc>
  </rcc>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24" sId="1">
    <oc r="E344" t="inlineStr">
      <is>
        <t>Comercio Hoteleiro - Data Base: Maio</t>
      </is>
    </oc>
    <nc r="E344" t="inlineStr">
      <is>
        <t>Bares e Hoteis - Data Base: Maio</t>
      </is>
    </nc>
  </rcc>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1:XFD1048576" start="0" length="2147483647">
    <dxf>
      <font>
        <name val="Arial"/>
        <scheme val="none"/>
      </font>
    </dxf>
  </rfmt>
  <rfmt sheetId="1" sqref="A1:XFD1048576" start="0" length="2147483647">
    <dxf>
      <font>
        <sz val="9"/>
      </font>
    </dxf>
  </rfmt>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Empresas'!$A$1:$N$417</formula>
    <oldFormula>'Controle Empresas'!$A$1:$N$417</oldFormula>
  </rdn>
  <rcv guid="{DAEEB123-9C5D-4BF0-8F09-E7DEBC62D826}"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28" sId="1">
    <nc r="E380" t="inlineStr">
      <is>
        <t xml:space="preserve">Estacionamento e Garagens: Data Base Maio </t>
      </is>
    </nc>
  </rcc>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29" sId="2">
    <oc r="C38" t="inlineStr">
      <is>
        <t xml:space="preserve">https://unibenjf.com.br/index.php  - Login 10742837000160
Senha mix123
</t>
      </is>
    </oc>
    <nc r="C38" t="inlineStr">
      <is>
        <t xml:space="preserve">https://unibenjf.com.br/index.php  - Login 10742837000160
Senha 11151905
</t>
      </is>
    </nc>
  </rcc>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0" sId="2">
    <oc r="C38" t="inlineStr">
      <is>
        <t xml:space="preserve">https://unibenjf.com.br/index.php  - Login 10742837000160
Senha 11151905
</t>
      </is>
    </oc>
    <nc r="C38" t="inlineStr">
      <is>
        <t xml:space="preserve">https://unibenjf.com.br/index.php  - Login 10742837000160
Senha 11151905  Entra pelo internet Explore, extrato mensais; extrato completo, competencia o mês atual , e 2020 na proxima aba que não aparece nada
</t>
      </is>
    </nc>
  </rcc>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Empresas'!$A$1:$N$417</formula>
    <oldFormula>'Controle Empresas'!$A$1:$N$417</oldFormula>
  </rdn>
  <rcv guid="{DAEEB123-9C5D-4BF0-8F09-E7DEBC62D826}" action="add"/>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4" sId="1">
    <oc r="M163" t="inlineStr">
      <is>
        <r>
          <t xml:space="preserve">Pro labore (   )
INSS (   )
GFIP (   ) IRRF (   )                           </t>
        </r>
        <r>
          <rPr>
            <b/>
            <sz val="9"/>
            <color rgb="FFFF0000"/>
            <rFont val="Arial"/>
            <family val="2"/>
          </rPr>
          <t>PLANO DE SAÚDE - Solicitamos</t>
        </r>
      </is>
    </oc>
    <nc r="M163" t="inlineStr">
      <is>
        <t>d</t>
      </is>
    </nc>
  </rcc>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5" sId="2">
    <oc r="C388" t="inlineStr">
      <is>
        <t xml:space="preserve"> LOGIN ASTRANSP 30500164000149 SENHA 12345     FUNCIONÁRIA VIVIANE 1 VT POR DIA 2ª a 6ª PASSA (cartao comum) FECHAMENTO,QUANTIDADE DE HORAS NO MÊS.ATENTAR QUE POR SER UMA EMPRESA QUE PRESTA SERVIÇOS,TEM TOMADORES DE OBRA,PORTANTO TODO MÊS TEM QUE PEGAR AS NOTAS NA PREFEITUTA,ADICIONAR ELAS NO SERVIÇOS E FAZER AS RETENÇOES DO INSS PARA ABATER NA FOLHA.PASSAR NA SEFIP 150 E VERIFICAR SEMPRE A PLANILHA NA PASTINHA PARA VER O QUE SOBROU DO MES PASSADO PARA INCLUIR.</t>
      </is>
    </oc>
    <nc r="C388" t="inlineStr">
      <is>
        <r>
          <t xml:space="preserve"> LOGIN ASTRANSP 30500164000149 SENHA 12345     FUNCIONÁRIA VIVIANE 1 VT POR DIA 2ª a 6ª PASSA (cartao comum)</t>
        </r>
        <r>
          <rPr>
            <sz val="10"/>
            <color rgb="FFFF0000"/>
            <rFont val="Calibri"/>
            <family val="2"/>
          </rPr>
          <t xml:space="preserve"> *Não tem mais funcionaria</t>
        </r>
        <r>
          <rPr>
            <sz val="10"/>
            <rFont val="Calibri"/>
            <family val="2"/>
          </rPr>
          <t xml:space="preserve"> FECHAMENTO,QUANTIDADE DE HORAS NO MÊS.ATENTAR QUE POR SER UMA EMPRESA QUE PRESTA SERVIÇOS,TEM TOMADORES DE OBRA,PORTANTO TODO MÊS TEM QUE PEGAR AS NOTAS NA PREFEITUTA,ADICIONAR ELAS NO SERVIÇOS E FAZER AS RETENÇOES DO INSS PARA ABATER NA FOLHA.PASSAR NA SEFIP 150 E VERIFICAR SEMPRE A PLANILHA NA PASTINHA PARA VER O QUE SOBROU DO MES PASSADO PARA INCLUIR.</t>
        </r>
      </is>
    </nc>
  </rcc>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6" sId="2">
    <oc r="C35" t="inlineStr">
      <is>
        <t>• MENSALMENTE PASSA COMISSÃO
• FAZER RECIBO DA ASTRANSP - CNPJ 21104245000139 - SENHA 12345 - 2º A SAB 2 POR DIA - ENVIAR JUNTO HISTORICO DO PEDIDO - ENVIAR ATÉ O DIA 25.
  EMPREGADOR WEB - LOGIN - NOVUS123   SENHA - 2110424500 - Mandar as folhas até o dia 30 ou 31 de cada mês. Funcionária Helena n ão tem vt.</t>
      </is>
    </oc>
    <nc r="C35" t="inlineStr">
      <is>
        <r>
          <t>• MENSALMENTE PASSA COMISSÃO
• FAZER RECIBO DA ASTRANSP - CNPJ 21104245000139 - SENHA 12345 - 2º A SAB 2 POR DIA - ENVIAR JUNTO HISTORICO DO PEDIDO - ENVIAR ATÉ O DIA 25.</t>
        </r>
        <r>
          <rPr>
            <sz val="10"/>
            <color rgb="FFFF0000"/>
            <rFont val="Calibri"/>
            <family val="2"/>
          </rPr>
          <t xml:space="preserve"> (não tem mais func com vt)</t>
        </r>
        <r>
          <rPr>
            <sz val="10"/>
            <rFont val="Calibri"/>
            <family val="2"/>
          </rPr>
          <t xml:space="preserve">
  EMPREGADOR WEB - LOGIN - NOVUS123   SENHA - 2110424500 - Mandar as folhas até o dia 30 ou 31 de cada mês. Funcionária Helena n ão tem vt.</t>
        </r>
      </is>
    </nc>
  </rcc>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Empresas'!$A$1:$N$417</formula>
    <oldFormula>'Controle Empresas'!$A$1:$N$417</oldFormula>
  </rdn>
  <rcv guid="{590CEBDA-E7AE-4D8D-8613-56208662CCA9}" action="add"/>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239" sId="1" ref="A408:XFD408"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AEEB123_9C5D_4BF0_8F09_E7DEBC62D826_.wvu.Cols" sId="1"/>
    <undo index="0" exp="area" ref3D="1" dr="$C$1:$F$1048576" dn="Z_DFB7C661_5C1D_4491_B5BB_D24125818F62_.wvu.Cols" sId="1"/>
    <undo index="0" exp="area" ref3D="1" dr="$C$1:$F$1048576" dn="Z_3BCABC4F_4072_4ED9_90CC_E9BE96773387_.wvu.Cols" sId="1"/>
  </rrc>
  <rcc rId="4240" sId="1">
    <nc r="A408">
      <v>910</v>
    </nc>
  </rcc>
  <rcc rId="4241" sId="1" xfDxf="1" dxf="1">
    <nc r="B408" t="inlineStr">
      <is>
        <t>FABRICIO REBELLO LIGNANI SIQUEIRA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4242" sId="1">
    <nc r="G408" t="inlineStr">
      <is>
        <t>CARL</t>
      </is>
    </nc>
  </rcc>
  <rcc rId="4243" sId="1">
    <nc r="H408" t="inlineStr">
      <is>
        <t>DOMÉSTICO</t>
      </is>
    </nc>
  </rcc>
  <rcc rId="4244" sId="1">
    <nc r="M408" t="inlineStr">
      <is>
        <t>E-SOCIAL</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Empresas'!$A$1:$N$418</formula>
    <oldFormula>'Controle Empresas'!$A$1:$N$418</oldFormula>
  </rdn>
  <rcv guid="{DAEEB123-9C5D-4BF0-8F09-E7DEBC62D826}"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248" sId="1" ref="A408:XFD408"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AEEB123_9C5D_4BF0_8F09_E7DEBC62D826_.wvu.Cols" sId="1"/>
    <undo index="0" exp="area" ref3D="1" dr="$C$1:$F$1048576" dn="Z_DFB7C661_5C1D_4491_B5BB_D24125818F62_.wvu.Cols" sId="1"/>
    <undo index="0" exp="area" ref3D="1" dr="$C$1:$F$1048576" dn="Z_3BCABC4F_4072_4ED9_90CC_E9BE96773387_.wvu.Cols" sId="1"/>
  </rrc>
  <rcc rId="4249" sId="1">
    <nc r="A408">
      <v>909</v>
    </nc>
  </rcc>
  <rcc rId="4250" sId="1" xfDxf="1" dxf="1">
    <nc r="B408" t="inlineStr">
      <is>
        <t>MARCELO GOMES</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4251" sId="1">
    <nc r="G408" t="inlineStr">
      <is>
        <t>CARL</t>
      </is>
    </nc>
  </rcc>
  <rcc rId="4252" sId="1">
    <nc r="H408" t="inlineStr">
      <is>
        <t>SIMEI</t>
      </is>
    </nc>
  </rcc>
  <rcc rId="4253" sId="1">
    <nc r="M408" t="inlineStr">
      <is>
        <t>PASSAR GFIP S/M 03.2020</t>
      </is>
    </nc>
  </rcc>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54" sId="1">
    <oc r="G28" t="inlineStr">
      <is>
        <t>IASK</t>
      </is>
    </oc>
    <nc r="G28" t="inlineStr">
      <is>
        <t>THAI</t>
      </is>
    </nc>
  </rcc>
  <rcc rId="4255" sId="1">
    <oc r="G311" t="inlineStr">
      <is>
        <t>THAI</t>
      </is>
    </oc>
    <nc r="G311" t="inlineStr">
      <is>
        <t>IASK</t>
      </is>
    </nc>
  </rcc>
  <rcc rId="4256" sId="1">
    <oc r="G403" t="inlineStr">
      <is>
        <t>IASK</t>
      </is>
    </oc>
    <nc r="G403" t="inlineStr">
      <is>
        <t>THAI</t>
      </is>
    </nc>
  </rcc>
  <rcc rId="4257" sId="1">
    <oc r="G402" t="inlineStr">
      <is>
        <t>IASK</t>
      </is>
    </oc>
    <nc r="G402" t="inlineStr">
      <is>
        <t>THAI</t>
      </is>
    </nc>
  </rcc>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28" start="0" length="0">
    <dxf>
      <font>
        <b/>
        <sz val="9"/>
        <color auto="1"/>
        <name val="Arial"/>
        <scheme val="none"/>
      </font>
      <fill>
        <patternFill>
          <bgColor theme="7"/>
        </patternFill>
      </fill>
      <border outline="0">
        <bottom/>
      </border>
    </dxf>
  </rfmt>
  <rfmt sheetId="1" sqref="G403" start="0" length="0">
    <dxf>
      <font>
        <b/>
        <sz val="9"/>
        <color auto="1"/>
        <name val="Arial"/>
        <scheme val="none"/>
      </font>
      <fill>
        <patternFill>
          <bgColor theme="7"/>
        </patternFill>
      </fill>
      <border outline="0">
        <bottom/>
      </border>
    </dxf>
  </rfmt>
  <rfmt sheetId="1" sqref="G402" start="0" length="0">
    <dxf>
      <font>
        <b/>
        <sz val="9"/>
        <color auto="1"/>
        <name val="Arial"/>
        <scheme val="none"/>
      </font>
      <fill>
        <patternFill>
          <bgColor theme="7"/>
        </patternFill>
      </fill>
    </dxf>
  </rfmt>
  <rcc rId="4258" sId="1" odxf="1" dxf="1">
    <oc r="G403" t="inlineStr">
      <is>
        <t>THAI</t>
      </is>
    </oc>
    <nc r="G403" t="inlineStr">
      <is>
        <t>IASK</t>
      </is>
    </nc>
    <ndxf>
      <font>
        <b val="0"/>
        <sz val="9"/>
        <color auto="1"/>
        <name val="Arial"/>
        <scheme val="none"/>
      </font>
      <fill>
        <patternFill>
          <bgColor rgb="FFCC3399"/>
        </patternFill>
      </fill>
      <border outline="0">
        <bottom style="thin">
          <color indexed="64"/>
        </bottom>
      </border>
    </ndxf>
  </rcc>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1" start="0" length="0">
    <dxf>
      <border>
        <top style="thin">
          <color indexed="64"/>
        </top>
      </border>
    </dxf>
  </rfmt>
  <rfmt sheetId="1" sqref="N1 N18" start="0" length="0">
    <dxf>
      <border>
        <right style="thin">
          <color indexed="64"/>
        </right>
      </border>
    </dxf>
  </rfmt>
  <rfmt sheetId="1" sqref="N18" start="0" length="0">
    <dxf>
      <border>
        <bottom style="thin">
          <color indexed="64"/>
        </bottom>
      </border>
    </dxf>
  </rfmt>
  <rfmt sheetId="1" sqref="N38" start="0" length="0">
    <dxf>
      <border>
        <left style="thin">
          <color indexed="64"/>
        </left>
        <right style="thin">
          <color indexed="64"/>
        </right>
        <top style="thin">
          <color indexed="64"/>
        </top>
        <bottom style="thin">
          <color indexed="64"/>
        </bottom>
      </border>
    </dxf>
  </rfmt>
  <rfmt sheetId="1" sqref="N40" start="0" length="0">
    <dxf>
      <border>
        <left style="thin">
          <color indexed="64"/>
        </left>
        <right style="thin">
          <color indexed="64"/>
        </right>
        <top style="thin">
          <color indexed="64"/>
        </top>
        <bottom style="thin">
          <color indexed="64"/>
        </bottom>
      </border>
    </dxf>
  </rfmt>
  <rfmt sheetId="1" sqref="N70" start="0" length="0">
    <dxf>
      <border>
        <left style="thin">
          <color indexed="64"/>
        </left>
        <right style="thin">
          <color indexed="64"/>
        </right>
        <top style="thin">
          <color indexed="64"/>
        </top>
        <bottom style="thin">
          <color indexed="64"/>
        </bottom>
      </border>
    </dxf>
  </rfmt>
  <rfmt sheetId="1" sqref="N76" start="0" length="0">
    <dxf>
      <border>
        <top style="thin">
          <color indexed="64"/>
        </top>
      </border>
    </dxf>
  </rfmt>
  <rfmt sheetId="1" sqref="N76 N79 N81 N84" start="0" length="0">
    <dxf>
      <border>
        <right style="thin">
          <color indexed="64"/>
        </right>
      </border>
    </dxf>
  </rfmt>
  <rfmt sheetId="1" sqref="N84" start="0" length="0">
    <dxf>
      <border>
        <bottom style="thin">
          <color indexed="64"/>
        </bottom>
      </border>
    </dxf>
  </rfmt>
  <rfmt sheetId="1" sqref="N106" start="0" length="0">
    <dxf>
      <border>
        <top style="thin">
          <color indexed="64"/>
        </top>
      </border>
    </dxf>
  </rfmt>
  <rfmt sheetId="1" sqref="N106 N160" start="0" length="0">
    <dxf>
      <border>
        <right style="thin">
          <color indexed="64"/>
        </right>
      </border>
    </dxf>
  </rfmt>
  <rfmt sheetId="1" sqref="N160" start="0" length="0">
    <dxf>
      <border>
        <bottom style="thin">
          <color indexed="64"/>
        </bottom>
      </border>
    </dxf>
  </rfmt>
  <rfmt sheetId="1" sqref="N162" start="0" length="0">
    <dxf>
      <border>
        <left style="thin">
          <color indexed="64"/>
        </left>
        <right style="thin">
          <color indexed="64"/>
        </right>
        <top style="thin">
          <color indexed="64"/>
        </top>
        <bottom style="thin">
          <color indexed="64"/>
        </bottom>
      </border>
    </dxf>
  </rfmt>
  <rfmt sheetId="1" sqref="N166" start="0" length="0">
    <dxf>
      <border>
        <left style="thin">
          <color indexed="64"/>
        </left>
        <right style="thin">
          <color indexed="64"/>
        </right>
        <top style="thin">
          <color indexed="64"/>
        </top>
        <bottom style="thin">
          <color indexed="64"/>
        </bottom>
      </border>
    </dxf>
  </rfmt>
  <rfmt sheetId="1" sqref="N167" start="0" length="0">
    <dxf>
      <border>
        <left style="thin">
          <color indexed="64"/>
        </left>
        <right style="thin">
          <color indexed="64"/>
        </right>
        <top style="thin">
          <color indexed="64"/>
        </top>
        <bottom style="thin">
          <color indexed="64"/>
        </bottom>
      </border>
    </dxf>
  </rfmt>
  <rfmt sheetId="1" sqref="N168" start="0" length="0">
    <dxf>
      <border>
        <left style="thin">
          <color indexed="64"/>
        </left>
        <right style="thin">
          <color indexed="64"/>
        </right>
        <top style="thin">
          <color indexed="64"/>
        </top>
        <bottom style="thin">
          <color indexed="64"/>
        </bottom>
      </border>
    </dxf>
  </rfmt>
  <rfmt sheetId="1" sqref="N169" start="0" length="0">
    <dxf>
      <border>
        <left style="thin">
          <color indexed="64"/>
        </left>
        <right style="thin">
          <color indexed="64"/>
        </right>
        <top style="thin">
          <color indexed="64"/>
        </top>
        <bottom style="thin">
          <color indexed="64"/>
        </bottom>
      </border>
    </dxf>
  </rfmt>
  <rfmt sheetId="1" sqref="N170" start="0" length="0">
    <dxf>
      <border>
        <left style="thin">
          <color indexed="64"/>
        </left>
        <right style="thin">
          <color indexed="64"/>
        </right>
        <top style="thin">
          <color indexed="64"/>
        </top>
        <bottom style="thin">
          <color indexed="64"/>
        </bottom>
      </border>
    </dxf>
  </rfmt>
  <rfmt sheetId="1" sqref="N172" start="0" length="0">
    <dxf>
      <border>
        <top style="thin">
          <color indexed="64"/>
        </top>
      </border>
    </dxf>
  </rfmt>
  <rfmt sheetId="1" sqref="N172 N174" start="0" length="0">
    <dxf>
      <border>
        <right style="thin">
          <color indexed="64"/>
        </right>
      </border>
    </dxf>
  </rfmt>
  <rfmt sheetId="1" sqref="N174" start="0" length="0">
    <dxf>
      <border>
        <bottom style="thin">
          <color indexed="64"/>
        </bottom>
      </border>
    </dxf>
  </rfmt>
  <rfmt sheetId="1" sqref="N178" start="0" length="0">
    <dxf>
      <border>
        <left style="thin">
          <color indexed="64"/>
        </left>
        <right style="thin">
          <color indexed="64"/>
        </right>
        <top style="thin">
          <color indexed="64"/>
        </top>
        <bottom style="thin">
          <color indexed="64"/>
        </bottom>
      </border>
    </dxf>
  </rfmt>
  <rfmt sheetId="1" sqref="N180" start="0" length="0">
    <dxf>
      <border>
        <left style="thin">
          <color indexed="64"/>
        </left>
        <right style="thin">
          <color indexed="64"/>
        </right>
        <top style="thin">
          <color indexed="64"/>
        </top>
        <bottom style="thin">
          <color indexed="64"/>
        </bottom>
      </border>
    </dxf>
  </rfmt>
  <rfmt sheetId="1" sqref="N198" start="0" length="0">
    <dxf>
      <border>
        <left style="thin">
          <color indexed="64"/>
        </left>
        <right style="thin">
          <color indexed="64"/>
        </right>
        <top style="thin">
          <color indexed="64"/>
        </top>
        <bottom style="thin">
          <color indexed="64"/>
        </bottom>
      </border>
    </dxf>
  </rfmt>
  <rfmt sheetId="1" sqref="N205" start="0" length="0">
    <dxf>
      <border>
        <left style="thin">
          <color indexed="64"/>
        </left>
        <right style="thin">
          <color indexed="64"/>
        </right>
        <top style="thin">
          <color indexed="64"/>
        </top>
        <bottom style="thin">
          <color indexed="64"/>
        </bottom>
      </border>
    </dxf>
  </rfmt>
  <rfmt sheetId="1" sqref="N213" start="0" length="0">
    <dxf>
      <border>
        <left style="thin">
          <color indexed="64"/>
        </left>
        <right style="thin">
          <color indexed="64"/>
        </right>
        <top style="thin">
          <color indexed="64"/>
        </top>
        <bottom style="thin">
          <color indexed="64"/>
        </bottom>
      </border>
    </dxf>
  </rfmt>
  <rfmt sheetId="1" sqref="N224" start="0" length="0">
    <dxf>
      <border>
        <left style="thin">
          <color indexed="64"/>
        </left>
        <right style="thin">
          <color indexed="64"/>
        </right>
        <top style="thin">
          <color indexed="64"/>
        </top>
        <bottom style="thin">
          <color indexed="64"/>
        </bottom>
      </border>
    </dxf>
  </rfmt>
  <rfmt sheetId="1" sqref="N228" start="0" length="0">
    <dxf>
      <border>
        <left style="thin">
          <color indexed="64"/>
        </left>
        <right style="thin">
          <color indexed="64"/>
        </right>
        <top style="thin">
          <color indexed="64"/>
        </top>
        <bottom style="thin">
          <color indexed="64"/>
        </bottom>
      </border>
    </dxf>
  </rfmt>
  <rfmt sheetId="1" sqref="N253" start="0" length="0">
    <dxf>
      <border>
        <left style="thin">
          <color indexed="64"/>
        </left>
        <right style="thin">
          <color indexed="64"/>
        </right>
        <top style="thin">
          <color indexed="64"/>
        </top>
        <bottom style="thin">
          <color indexed="64"/>
        </bottom>
      </border>
    </dxf>
  </rfmt>
  <rfmt sheetId="1" sqref="N264" start="0" length="0">
    <dxf>
      <border>
        <left style="thin">
          <color indexed="64"/>
        </left>
        <right style="thin">
          <color indexed="64"/>
        </right>
        <top style="thin">
          <color indexed="64"/>
        </top>
        <bottom style="thin">
          <color indexed="64"/>
        </bottom>
      </border>
    </dxf>
  </rfmt>
  <rfmt sheetId="1" sqref="N274" start="0" length="0">
    <dxf>
      <border>
        <top style="thin">
          <color indexed="64"/>
        </top>
      </border>
    </dxf>
  </rfmt>
  <rfmt sheetId="1" sqref="N274 N289 N307 N313 N314" start="0" length="0">
    <dxf>
      <border>
        <right style="thin">
          <color indexed="64"/>
        </right>
      </border>
    </dxf>
  </rfmt>
  <rfmt sheetId="1" sqref="N314" start="0" length="0">
    <dxf>
      <border>
        <bottom style="thin">
          <color indexed="64"/>
        </bottom>
      </border>
    </dxf>
  </rfmt>
  <rfmt sheetId="1" sqref="N315" start="0" length="0">
    <dxf>
      <border>
        <left style="thin">
          <color indexed="64"/>
        </left>
        <right style="thin">
          <color indexed="64"/>
        </right>
        <top style="thin">
          <color indexed="64"/>
        </top>
        <bottom style="thin">
          <color indexed="64"/>
        </bottom>
      </border>
    </dxf>
  </rfmt>
  <rfmt sheetId="1" sqref="N317" start="0" length="0">
    <dxf>
      <border>
        <left style="thin">
          <color indexed="64"/>
        </left>
        <right style="thin">
          <color indexed="64"/>
        </right>
        <top style="thin">
          <color indexed="64"/>
        </top>
        <bottom style="thin">
          <color indexed="64"/>
        </bottom>
      </border>
    </dxf>
  </rfmt>
  <rfmt sheetId="1" sqref="N328" start="0" length="0">
    <dxf>
      <border>
        <top style="thin">
          <color indexed="64"/>
        </top>
      </border>
    </dxf>
  </rfmt>
  <rfmt sheetId="1" sqref="N328 N343 N351" start="0" length="0">
    <dxf>
      <border>
        <right style="thin">
          <color indexed="64"/>
        </right>
      </border>
    </dxf>
  </rfmt>
  <rfmt sheetId="1" sqref="N351" start="0" length="0">
    <dxf>
      <border>
        <bottom style="thin">
          <color indexed="64"/>
        </bottom>
      </border>
    </dxf>
  </rfmt>
  <rfmt sheetId="1" sqref="N355" start="0" length="0">
    <dxf>
      <border>
        <left style="thin">
          <color indexed="64"/>
        </left>
        <right style="thin">
          <color indexed="64"/>
        </right>
        <top style="thin">
          <color indexed="64"/>
        </top>
        <bottom style="thin">
          <color indexed="64"/>
        </bottom>
      </border>
    </dxf>
  </rfmt>
  <rfmt sheetId="1" sqref="N364" start="0" length="0">
    <dxf>
      <border>
        <left style="thin">
          <color indexed="64"/>
        </left>
        <right style="thin">
          <color indexed="64"/>
        </right>
        <top style="thin">
          <color indexed="64"/>
        </top>
        <bottom style="thin">
          <color indexed="64"/>
        </bottom>
      </border>
    </dxf>
  </rfmt>
  <rfmt sheetId="1" sqref="N380" start="0" length="0">
    <dxf>
      <border>
        <left style="thin">
          <color indexed="64"/>
        </left>
        <right style="thin">
          <color indexed="64"/>
        </right>
        <top style="thin">
          <color indexed="64"/>
        </top>
        <bottom style="thin">
          <color indexed="64"/>
        </bottom>
      </border>
    </dxf>
  </rfmt>
  <rfmt sheetId="1" sqref="N384" start="0" length="0">
    <dxf>
      <border>
        <left style="thin">
          <color indexed="64"/>
        </left>
        <right style="thin">
          <color indexed="64"/>
        </right>
        <top style="thin">
          <color indexed="64"/>
        </top>
        <bottom style="thin">
          <color indexed="64"/>
        </bottom>
      </border>
    </dxf>
  </rfmt>
  <rfmt sheetId="1" sqref="N393" start="0" length="0">
    <dxf>
      <border>
        <left style="thin">
          <color indexed="64"/>
        </left>
        <right style="thin">
          <color indexed="64"/>
        </right>
        <top style="thin">
          <color indexed="64"/>
        </top>
        <bottom style="thin">
          <color indexed="64"/>
        </bottom>
      </border>
    </dxf>
  </rfmt>
  <rfmt sheetId="1" sqref="N397" start="0" length="0">
    <dxf>
      <border>
        <left style="thin">
          <color indexed="64"/>
        </left>
        <right style="thin">
          <color indexed="64"/>
        </right>
        <top style="thin">
          <color indexed="64"/>
        </top>
        <bottom style="thin">
          <color indexed="64"/>
        </bottom>
      </border>
    </dxf>
  </rfmt>
  <rfmt sheetId="1" sqref="N415" start="0" length="0">
    <dxf>
      <border>
        <left style="thin">
          <color indexed="64"/>
        </left>
        <right style="thin">
          <color indexed="64"/>
        </right>
        <top style="thin">
          <color indexed="64"/>
        </top>
        <bottom style="thin">
          <color indexed="64"/>
        </bottom>
      </border>
    </dxf>
  </rfmt>
  <rfmt sheetId="1" sqref="N416" start="0" length="0">
    <dxf>
      <border>
        <left style="thin">
          <color indexed="64"/>
        </left>
        <right style="thin">
          <color indexed="64"/>
        </right>
        <top style="thin">
          <color indexed="64"/>
        </top>
        <bottom style="thin">
          <color indexed="64"/>
        </bottom>
      </border>
    </dxf>
  </rfmt>
  <rfmt sheetId="1" sqref="N2" start="0" length="0">
    <dxf>
      <border>
        <left style="thin">
          <color indexed="64"/>
        </left>
        <right style="thin">
          <color indexed="64"/>
        </right>
        <top style="thin">
          <color indexed="64"/>
        </top>
        <bottom style="thin">
          <color indexed="64"/>
        </bottom>
      </border>
    </dxf>
  </rfmt>
  <rfmt sheetId="1" sqref="N5" start="0" length="0">
    <dxf>
      <border>
        <left style="thin">
          <color indexed="64"/>
        </left>
        <right style="thin">
          <color indexed="64"/>
        </right>
        <top style="thin">
          <color indexed="64"/>
        </top>
        <bottom style="thin">
          <color indexed="64"/>
        </bottom>
      </border>
    </dxf>
  </rfmt>
  <rfmt sheetId="1" sqref="N32" start="0" length="0">
    <dxf>
      <border>
        <left style="thin">
          <color indexed="64"/>
        </left>
        <right style="thin">
          <color indexed="64"/>
        </right>
        <top style="thin">
          <color indexed="64"/>
        </top>
        <bottom style="thin">
          <color indexed="64"/>
        </bottom>
      </border>
    </dxf>
  </rfmt>
  <rfmt sheetId="1" sqref="N37" start="0" length="0">
    <dxf>
      <border>
        <left style="thin">
          <color indexed="64"/>
        </left>
        <right style="thin">
          <color indexed="64"/>
        </right>
        <top style="thin">
          <color indexed="64"/>
        </top>
        <bottom style="thin">
          <color indexed="64"/>
        </bottom>
      </border>
    </dxf>
  </rfmt>
  <rfmt sheetId="1" sqref="N39" start="0" length="0">
    <dxf>
      <border>
        <left style="thin">
          <color indexed="64"/>
        </left>
        <right style="thin">
          <color indexed="64"/>
        </right>
        <top style="thin">
          <color indexed="64"/>
        </top>
        <bottom style="thin">
          <color indexed="64"/>
        </bottom>
      </border>
    </dxf>
  </rfmt>
  <rfmt sheetId="1" sqref="N47" start="0" length="0">
    <dxf>
      <border>
        <top style="thin">
          <color indexed="64"/>
        </top>
      </border>
    </dxf>
  </rfmt>
  <rfmt sheetId="1" sqref="N47 N48 N58" start="0" length="0">
    <dxf>
      <border>
        <right style="thin">
          <color indexed="64"/>
        </right>
      </border>
    </dxf>
  </rfmt>
  <rfmt sheetId="1" sqref="N58" start="0" length="0">
    <dxf>
      <border>
        <bottom style="thin">
          <color indexed="64"/>
        </bottom>
      </border>
    </dxf>
  </rfmt>
  <rfmt sheetId="1" sqref="N72" start="0" length="0">
    <dxf>
      <border>
        <left style="thin">
          <color indexed="64"/>
        </left>
        <right style="thin">
          <color indexed="64"/>
        </right>
        <top style="thin">
          <color indexed="64"/>
        </top>
        <bottom style="thin">
          <color indexed="64"/>
        </bottom>
      </border>
    </dxf>
  </rfmt>
  <rfmt sheetId="1" sqref="N83" start="0" length="0">
    <dxf>
      <border>
        <left style="thin">
          <color indexed="64"/>
        </left>
        <right style="thin">
          <color indexed="64"/>
        </right>
        <top style="thin">
          <color indexed="64"/>
        </top>
        <bottom style="thin">
          <color indexed="64"/>
        </bottom>
      </border>
    </dxf>
  </rfmt>
  <rfmt sheetId="1" sqref="N87" start="0" length="0">
    <dxf>
      <border>
        <left style="thin">
          <color indexed="64"/>
        </left>
        <right style="thin">
          <color indexed="64"/>
        </right>
        <top style="thin">
          <color indexed="64"/>
        </top>
        <bottom style="thin">
          <color indexed="64"/>
        </bottom>
      </border>
    </dxf>
  </rfmt>
  <rfmt sheetId="1" sqref="N114" start="0" length="0">
    <dxf>
      <border>
        <top style="thin">
          <color indexed="64"/>
        </top>
      </border>
    </dxf>
  </rfmt>
  <rfmt sheetId="1" sqref="N114 N124 N140" start="0" length="0">
    <dxf>
      <border>
        <right style="thin">
          <color indexed="64"/>
        </right>
      </border>
    </dxf>
  </rfmt>
  <rfmt sheetId="1" sqref="N140" start="0" length="0">
    <dxf>
      <border>
        <bottom style="thin">
          <color indexed="64"/>
        </bottom>
      </border>
    </dxf>
  </rfmt>
  <rfmt sheetId="1" sqref="N152" start="0" length="0">
    <dxf>
      <border>
        <left style="thin">
          <color indexed="64"/>
        </left>
        <right style="thin">
          <color indexed="64"/>
        </right>
        <top style="thin">
          <color indexed="64"/>
        </top>
        <bottom style="thin">
          <color indexed="64"/>
        </bottom>
      </border>
    </dxf>
  </rfmt>
  <rfmt sheetId="1" sqref="N156" start="0" length="0">
    <dxf>
      <border>
        <left style="thin">
          <color indexed="64"/>
        </left>
        <right style="thin">
          <color indexed="64"/>
        </right>
        <top style="thin">
          <color indexed="64"/>
        </top>
        <bottom style="thin">
          <color indexed="64"/>
        </bottom>
      </border>
    </dxf>
  </rfmt>
  <rfmt sheetId="1" sqref="N179" start="0" length="0">
    <dxf>
      <border>
        <left style="thin">
          <color indexed="64"/>
        </left>
        <right style="thin">
          <color indexed="64"/>
        </right>
        <top style="thin">
          <color indexed="64"/>
        </top>
        <bottom style="thin">
          <color indexed="64"/>
        </bottom>
      </border>
    </dxf>
  </rfmt>
  <rfmt sheetId="1" sqref="N191" start="0" length="0">
    <dxf>
      <border>
        <top style="thin">
          <color indexed="64"/>
        </top>
      </border>
    </dxf>
  </rfmt>
  <rfmt sheetId="1" sqref="N191 N200" start="0" length="0">
    <dxf>
      <border>
        <right style="thin">
          <color indexed="64"/>
        </right>
      </border>
    </dxf>
  </rfmt>
  <rfmt sheetId="1" sqref="N200" start="0" length="0">
    <dxf>
      <border>
        <bottom style="thin">
          <color indexed="64"/>
        </bottom>
      </border>
    </dxf>
  </rfmt>
  <rfmt sheetId="1" sqref="N218" start="0" length="0">
    <dxf>
      <border>
        <left style="thin">
          <color indexed="64"/>
        </left>
        <right style="thin">
          <color indexed="64"/>
        </right>
        <top style="thin">
          <color indexed="64"/>
        </top>
        <bottom style="thin">
          <color indexed="64"/>
        </bottom>
      </border>
    </dxf>
  </rfmt>
  <rfmt sheetId="1" sqref="N237" start="0" length="0">
    <dxf>
      <border>
        <top style="thin">
          <color indexed="64"/>
        </top>
      </border>
    </dxf>
  </rfmt>
  <rfmt sheetId="1" sqref="N237 N246" start="0" length="0">
    <dxf>
      <border>
        <right style="thin">
          <color indexed="64"/>
        </right>
      </border>
    </dxf>
  </rfmt>
  <rfmt sheetId="1" sqref="N246" start="0" length="0">
    <dxf>
      <border>
        <bottom style="thin">
          <color indexed="64"/>
        </bottom>
      </border>
    </dxf>
  </rfmt>
  <rfmt sheetId="1" sqref="N262" start="0" length="0">
    <dxf>
      <border>
        <left style="thin">
          <color indexed="64"/>
        </left>
        <right style="thin">
          <color indexed="64"/>
        </right>
        <top style="thin">
          <color indexed="64"/>
        </top>
        <bottom style="thin">
          <color indexed="64"/>
        </bottom>
      </border>
    </dxf>
  </rfmt>
  <rfmt sheetId="1" sqref="N273" start="0" length="0">
    <dxf>
      <border>
        <top style="thin">
          <color indexed="64"/>
        </top>
      </border>
    </dxf>
  </rfmt>
  <rfmt sheetId="1" sqref="N273 N275" start="0" length="0">
    <dxf>
      <border>
        <right style="thin">
          <color indexed="64"/>
        </right>
      </border>
    </dxf>
  </rfmt>
  <rfmt sheetId="1" sqref="N275" start="0" length="0">
    <dxf>
      <border>
        <bottom style="thin">
          <color indexed="64"/>
        </bottom>
      </border>
    </dxf>
  </rfmt>
  <rfmt sheetId="1" sqref="N311" start="0" length="0">
    <dxf>
      <border>
        <left style="thin">
          <color indexed="64"/>
        </left>
        <right style="thin">
          <color indexed="64"/>
        </right>
        <top style="thin">
          <color indexed="64"/>
        </top>
        <bottom style="thin">
          <color indexed="64"/>
        </bottom>
      </border>
    </dxf>
  </rfmt>
  <rfmt sheetId="1" sqref="N323" start="0" length="0">
    <dxf>
      <border>
        <left style="thin">
          <color indexed="64"/>
        </left>
        <right style="thin">
          <color indexed="64"/>
        </right>
        <top style="thin">
          <color indexed="64"/>
        </top>
        <bottom style="thin">
          <color indexed="64"/>
        </bottom>
      </border>
    </dxf>
  </rfmt>
  <rfmt sheetId="1" sqref="N336" start="0" length="0">
    <dxf>
      <border>
        <left style="thin">
          <color indexed="64"/>
        </left>
        <right style="thin">
          <color indexed="64"/>
        </right>
        <top style="thin">
          <color indexed="64"/>
        </top>
        <bottom style="thin">
          <color indexed="64"/>
        </bottom>
      </border>
    </dxf>
  </rfmt>
  <rfmt sheetId="1" sqref="N337" start="0" length="0">
    <dxf>
      <border>
        <left style="thin">
          <color indexed="64"/>
        </left>
        <right style="thin">
          <color indexed="64"/>
        </right>
        <top style="thin">
          <color indexed="64"/>
        </top>
        <bottom style="thin">
          <color indexed="64"/>
        </bottom>
      </border>
    </dxf>
  </rfmt>
  <rfmt sheetId="1" sqref="N341" start="0" length="0">
    <dxf>
      <border>
        <left style="thin">
          <color indexed="64"/>
        </left>
        <right style="thin">
          <color indexed="64"/>
        </right>
        <top style="thin">
          <color indexed="64"/>
        </top>
        <bottom style="thin">
          <color indexed="64"/>
        </bottom>
      </border>
    </dxf>
  </rfmt>
  <rfmt sheetId="1" sqref="N344" start="0" length="0">
    <dxf>
      <border>
        <left style="thin">
          <color indexed="64"/>
        </left>
        <right style="thin">
          <color indexed="64"/>
        </right>
        <top style="thin">
          <color indexed="64"/>
        </top>
        <bottom style="thin">
          <color indexed="64"/>
        </bottom>
      </border>
    </dxf>
  </rfmt>
  <rfmt sheetId="1" sqref="N356" start="0" length="0">
    <dxf>
      <border>
        <top style="thin">
          <color indexed="64"/>
        </top>
      </border>
    </dxf>
  </rfmt>
  <rfmt sheetId="1" sqref="N356 N371" start="0" length="0">
    <dxf>
      <border>
        <right style="thin">
          <color indexed="64"/>
        </right>
      </border>
    </dxf>
  </rfmt>
  <rfmt sheetId="1" sqref="N371" start="0" length="0">
    <dxf>
      <border>
        <bottom style="thin">
          <color indexed="64"/>
        </bottom>
      </border>
    </dxf>
  </rfmt>
  <rfmt sheetId="1" sqref="N404" start="0" length="0">
    <dxf>
      <border>
        <top style="thin">
          <color indexed="64"/>
        </top>
      </border>
    </dxf>
  </rfmt>
  <rfmt sheetId="1" sqref="N404 N414 N240" start="0" length="0">
    <dxf>
      <border>
        <right style="thin">
          <color indexed="64"/>
        </right>
      </border>
    </dxf>
  </rfmt>
  <rfmt sheetId="1" sqref="N240" start="0" length="0">
    <dxf>
      <border>
        <bottom style="thin">
          <color indexed="64"/>
        </bottom>
      </border>
    </dxf>
  </rfmt>
  <rfmt sheetId="1" sqref="N420" start="0" length="0">
    <dxf>
      <border>
        <left style="thin">
          <color indexed="64"/>
        </left>
        <right style="thin">
          <color indexed="64"/>
        </right>
        <top style="thin">
          <color indexed="64"/>
        </top>
        <bottom style="thin">
          <color indexed="64"/>
        </bottom>
      </border>
    </dxf>
  </rfmt>
  <rfmt sheetId="1" sqref="N420 N414:N416 N403:N404 N397 N393 N384 N380 N371 N364 N355:N356 N351 N343:N344 N341 N336:N337 N328 N323 N317 N313:N315 N311 N307 N289 N273:N275 N264 N262 N253 N246 N240 N237 N228 N218 N1 N18 N38 N40 N70 N76 N79 N81 N84 N106 N160 N162 N166 N167 N168 N169 N170 N172 N174 N178 N180 N198 N205 N213 N224 N228 N253 N264 N274 N289 N307 N313 N314 N315 N317 N328 N343 N351 N355 N364 N380 N384 N393">
    <dxf>
      <border>
        <left style="thin">
          <color indexed="64"/>
        </left>
        <right style="thin">
          <color indexed="64"/>
        </right>
        <vertical style="thin">
          <color indexed="64"/>
        </vertical>
      </border>
    </dxf>
  </rfmt>
  <rcc rId="4259" sId="1">
    <nc r="N397" t="inlineStr">
      <is>
        <t>NÃO</t>
      </is>
    </nc>
  </rcc>
  <rcc rId="4260" sId="1">
    <nc r="N415" t="inlineStr">
      <is>
        <t>NÃO</t>
      </is>
    </nc>
  </rcc>
  <rcc rId="4261" sId="1">
    <nc r="N307" t="inlineStr">
      <is>
        <t>NÃO</t>
      </is>
    </nc>
  </rcc>
  <rcc rId="4262" sId="1">
    <nc r="N313" t="inlineStr">
      <is>
        <t>NÃO</t>
      </is>
    </nc>
  </rcc>
  <rcc rId="4263" sId="1">
    <nc r="N317" t="inlineStr">
      <is>
        <t>NÃO</t>
      </is>
    </nc>
  </rcc>
  <rcc rId="4264" sId="1">
    <nc r="N328" t="inlineStr">
      <is>
        <t>NÃO</t>
      </is>
    </nc>
  </rcc>
  <rcc rId="4265" sId="1">
    <nc r="N274" t="inlineStr">
      <is>
        <t>NÃO</t>
      </is>
    </nc>
  </rcc>
  <rcc rId="4266" sId="1">
    <nc r="N205" t="inlineStr">
      <is>
        <t>NÃO</t>
      </is>
    </nc>
  </rcc>
  <rcc rId="4267" sId="1">
    <nc r="N213" t="inlineStr">
      <is>
        <t>NÃO</t>
      </is>
    </nc>
  </rcc>
  <rcc rId="4268" sId="1">
    <nc r="N224" t="inlineStr">
      <is>
        <t>NÃO</t>
      </is>
    </nc>
  </rcc>
  <rcc rId="4269" sId="1">
    <nc r="N198" t="inlineStr">
      <is>
        <t>NÃO</t>
      </is>
    </nc>
  </rcc>
  <rcc rId="4270" sId="1">
    <nc r="N79" t="inlineStr">
      <is>
        <t>NÃO</t>
      </is>
    </nc>
  </rcc>
  <rcc rId="4271" sId="1">
    <nc r="N81" t="inlineStr">
      <is>
        <t>NÃO</t>
      </is>
    </nc>
  </rcc>
  <rcc rId="4272" sId="1">
    <nc r="N84" t="inlineStr">
      <is>
        <t>NÃO</t>
      </is>
    </nc>
  </rcc>
  <rcc rId="4273" sId="1">
    <nc r="N106" t="inlineStr">
      <is>
        <t>NÃO</t>
      </is>
    </nc>
  </rcc>
  <rcc rId="4274" sId="1">
    <nc r="N18" t="inlineStr">
      <is>
        <t>NÃO</t>
      </is>
    </nc>
  </rcc>
  <rcc rId="4275" sId="1">
    <nc r="N38" t="inlineStr">
      <is>
        <t>NÃO</t>
      </is>
    </nc>
  </rcc>
  <rcc rId="4276" sId="1">
    <nc r="N162" t="inlineStr">
      <is>
        <t>NÃO</t>
      </is>
    </nc>
  </rcc>
  <rcc rId="4277" sId="1">
    <nc r="N166" t="inlineStr">
      <is>
        <t>NÃO</t>
      </is>
    </nc>
  </rcc>
  <rcc rId="4278" sId="1">
    <nc r="N167" t="inlineStr">
      <is>
        <t>NÃO</t>
      </is>
    </nc>
  </rcc>
  <rcc rId="4279" sId="1">
    <nc r="N168" t="inlineStr">
      <is>
        <t>NÃO</t>
      </is>
    </nc>
  </rcc>
  <rcc rId="4280" sId="1">
    <nc r="N169" t="inlineStr">
      <is>
        <t>NÃO</t>
      </is>
    </nc>
  </rcc>
  <rcc rId="4281" sId="1">
    <nc r="N170" t="inlineStr">
      <is>
        <t>NÃO</t>
      </is>
    </nc>
  </rcc>
  <rcc rId="4282" sId="1">
    <nc r="N172" t="inlineStr">
      <is>
        <t>NÃO</t>
      </is>
    </nc>
  </rcc>
  <rcc rId="4283" sId="1">
    <nc r="N174" t="inlineStr">
      <is>
        <t>NÃO</t>
      </is>
    </nc>
  </rcc>
  <rcc rId="4284" sId="1">
    <nc r="N178" t="inlineStr">
      <is>
        <t>NÃO</t>
      </is>
    </nc>
  </rcc>
  <rcc rId="4285" sId="1">
    <oc r="N83" t="inlineStr">
      <is>
        <t>NÃO RESPONDEU .Gerei guia normal</t>
      </is>
    </oc>
    <nc r="N83" t="inlineStr">
      <is>
        <t>NÃO</t>
      </is>
    </nc>
  </rcc>
  <rcc rId="4286" sId="1">
    <nc r="N240" t="inlineStr">
      <is>
        <t>NÃO</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Empresas'!$A$1:$N$420</formula>
    <oldFormula>'Controle Empresas'!$A$1:$N$420</oldFormula>
  </rdn>
  <rdn rId="0" localSheetId="1" customView="1" name="Z_44627F90_111A_4938_A3EC_3F862F83F7D7_.wvu.FilterData" hidden="1" oldHidden="1">
    <formula>'Controle Empresas'!$A$1:$N$419</formula>
    <oldFormula>'Controle Empresas'!$A$1:$N$419</oldFormula>
  </rdn>
  <rcv guid="{44627F90-111A-4938-A3EC-3F862F83F7D7}"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0" sId="1" odxf="1" dxf="1">
    <oc r="G403" t="inlineStr">
      <is>
        <t>IASK</t>
      </is>
    </oc>
    <nc r="G403" t="inlineStr">
      <is>
        <t>THAI</t>
      </is>
    </nc>
    <odxf>
      <font>
        <b val="0"/>
        <sz val="9"/>
        <color auto="1"/>
        <name val="Arial"/>
        <scheme val="none"/>
      </font>
      <fill>
        <patternFill>
          <bgColor rgb="FFCC3399"/>
        </patternFill>
      </fill>
      <border outline="0">
        <bottom style="thin">
          <color indexed="64"/>
        </bottom>
      </border>
    </odxf>
    <ndxf>
      <font>
        <b/>
        <sz val="9"/>
        <color auto="1"/>
        <name val="Arial"/>
        <scheme val="none"/>
      </font>
      <fill>
        <patternFill>
          <bgColor theme="7"/>
        </patternFill>
      </fill>
      <border outline="0">
        <bottom/>
      </border>
    </ndxf>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Empresas'!$A$1:$N$420</formula>
    <oldFormula>'Controle Empresas'!$A$1:$N$420</oldFormula>
  </rdn>
  <rdn rId="0" localSheetId="1" customView="1" name="Z_44627F90_111A_4938_A3EC_3F862F83F7D7_.wvu.FilterData" hidden="1" oldHidden="1">
    <formula>'Controle Empresas'!$A$1:$N$419</formula>
    <oldFormula>'Controle Empresas'!$A$1:$N$419</oldFormula>
  </rdn>
  <rcv guid="{44627F90-111A-4938-A3EC-3F862F83F7D7}"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311" start="0" length="0">
    <dxf>
      <font>
        <b val="0"/>
        <sz val="9"/>
        <color auto="1"/>
        <name val="Arial"/>
        <scheme val="none"/>
      </font>
      <fill>
        <patternFill>
          <bgColor rgb="FFCC3399"/>
        </patternFill>
      </fill>
      <border outline="0">
        <bottom style="thin">
          <color indexed="64"/>
        </bottom>
      </border>
    </dxf>
  </rfmt>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4" sId="1">
    <oc r="H240" t="inlineStr">
      <is>
        <t>S</t>
      </is>
    </oc>
    <nc r="H240" t="inlineStr">
      <is>
        <t>S/M</t>
      </is>
    </nc>
  </rcc>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5" sId="1">
    <oc r="J205">
      <v>21</v>
    </oc>
    <nc r="J205">
      <v>30</v>
    </nc>
  </rcc>
  <rcc rId="4296" sId="1">
    <oc r="J213">
      <v>21</v>
    </oc>
    <nc r="J213">
      <v>30</v>
    </nc>
  </rcc>
  <rcc rId="4297" sId="1" odxf="1" dxf="1">
    <oc r="J355">
      <v>21</v>
    </oc>
    <nc r="J355">
      <v>30</v>
    </nc>
    <odxf>
      <font>
        <sz val="9"/>
        <name val="Arial"/>
        <scheme val="none"/>
      </font>
      <alignment shrinkToFit="0" readingOrder="0"/>
    </odxf>
    <ndxf>
      <font>
        <sz val="9"/>
        <color auto="1"/>
        <name val="Arial"/>
        <scheme val="none"/>
      </font>
      <alignment shrinkToFit="1" readingOrder="0"/>
    </ndxf>
  </rcc>
  <rcc rId="4298" sId="1">
    <oc r="J384">
      <v>21</v>
    </oc>
    <nc r="J384">
      <v>30</v>
    </nc>
  </rcc>
  <rcc rId="4299" sId="1">
    <oc r="J403">
      <v>21</v>
    </oc>
    <nc r="J403">
      <v>30</v>
    </nc>
  </rcc>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0" sId="2">
    <oc r="C104" t="inlineStr">
      <is>
        <t>Vale transporte não faz mas recarga. Senha 12345 - Login 13358073000100 - SITE * doutor Fabricio já faz retirada no teto maximo em outra empresa. * TEM PLANO DE SAÚDE (SÓ DESCONTA DOS DEP. MENS. E COOP).Dos funcionários descontar apenas co participação</t>
      </is>
    </oc>
    <nc r="C104" t="inlineStr">
      <is>
        <t xml:space="preserve">• Vale transporte não faz mais recarga. Senha 12345 - Login 13358073000100 - SITE 
• Doutor Fabricio já faz retirada no teto máximo em outra empresa. 
• TEM PLANO DE SAÚDE (SÓ DESCONTA DOS DEP. MENS. E COOP). Dos funcionários descontar apenas co-participação, lança todo mês na domínio as informações de desconto.
</t>
      </is>
    </nc>
  </rcc>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1" sId="1">
    <oc r="N205" t="inlineStr">
      <is>
        <t>NÃO</t>
      </is>
    </oc>
    <nc r="N205" t="inlineStr">
      <is>
        <t>SIM</t>
      </is>
    </nc>
  </rcc>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2" sId="1">
    <oc r="G328" t="inlineStr">
      <is>
        <t>THAI</t>
      </is>
    </oc>
    <nc r="G328" t="inlineStr">
      <is>
        <t>FABI</t>
      </is>
    </nc>
  </rcc>
  <rfmt sheetId="1" sqref="G328">
    <dxf>
      <fill>
        <patternFill>
          <bgColor rgb="FF00B0F0"/>
        </patternFill>
      </fill>
    </dxf>
  </rfmt>
  <rcc rId="4303" sId="1">
    <oc r="M210" t="inlineStr">
      <is>
        <t>Folha e Pro labore (   )                              IR  (  )
INSS (   )      
FGTS e GFIP (   )
Manda comissão e plano de saude</t>
      </is>
    </oc>
    <nc r="M210" t="inlineStr">
      <is>
        <t>Folha e Pro labore (   )                              IR  (  )
INSS (   )      
FGTS e GFIP (   )ENVIAR PAGAMENTO DE GPS DE MARCO PARA PG EM SETEMBRO
Manda comissão e plano de saude</t>
      </is>
    </nc>
  </rcc>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D27" start="0" length="0">
    <dxf>
      <numFmt numFmtId="19" formatCode="dd/mm/yyyy"/>
    </dxf>
  </rfmt>
  <rfmt sheetId="3" sqref="E27" start="0" length="0">
    <dxf>
      <numFmt numFmtId="19" formatCode="dd/mm/yyyy"/>
    </dxf>
  </rfmt>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4" sId="1">
    <oc r="K162" t="inlineStr">
      <is>
        <t xml:space="preserve">NÃO </t>
      </is>
    </oc>
    <nc r="K162" t="inlineStr">
      <is>
        <t>SIM</t>
      </is>
    </nc>
  </rcc>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5" sId="1">
    <oc r="M224" t="inlineStr">
      <is>
        <r>
          <t xml:space="preserve">Pro labore (   ) 
INSS (   )
GFIP (   )  (  ) IRFF                                     </t>
        </r>
        <r>
          <rPr>
            <sz val="9"/>
            <color rgb="FFFF0000"/>
            <rFont val="Arial"/>
            <family val="2"/>
          </rPr>
          <t xml:space="preserve">Desc de vale aliment. 5% do valor da recarga do func. </t>
        </r>
      </is>
    </oc>
    <nc r="M224" t="inlineStr">
      <is>
        <t xml:space="preserve">Pro labore (   ) 
INSS (   )
GFIP (   )  (  ) IRFF                                     </t>
      </is>
    </nc>
  </rcc>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6" sId="1">
    <oc r="K274" t="inlineStr">
      <is>
        <t xml:space="preserve">NÃO </t>
      </is>
    </oc>
    <nc r="K274" t="inlineStr">
      <is>
        <t>SIM</t>
      </is>
    </nc>
  </rcc>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7" sId="1">
    <oc r="K355" t="inlineStr">
      <is>
        <t xml:space="preserve">NÃO </t>
      </is>
    </oc>
    <nc r="K355" t="inlineStr">
      <is>
        <t>SIM</t>
      </is>
    </nc>
  </rcc>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8" sId="1">
    <oc r="K397" t="inlineStr">
      <is>
        <t xml:space="preserve">NÃO </t>
      </is>
    </oc>
    <nc r="K397" t="inlineStr">
      <is>
        <t>SIM</t>
      </is>
    </nc>
  </rcc>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9" sId="2">
    <oc r="C447" t="inlineStr">
      <is>
        <t>Tem vale transporte  Astransp Login: 23558652649 senha: 12345 e 2 vales de seg a sext (comum: Carlos, Reginaldo, Weligton, Luiz fernando e Anderson)(BU:  Thiago) Transur Login: 366 senha: 26166137 (Airton 14,00 por dia seg a sext) transur tel: 32491800 http://www.transur.com.br/</t>
      </is>
    </oc>
    <nc r="C447" t="inlineStr">
      <is>
        <t>Tem vale transporte  Astransp Login: 23558652649 senha: 12345 e 2 vales de seg a sext (comum: Carlos,  Weligton, Luiz fernando )(BU:  Thiago) Transur Login: 366 senha: 26166137 (Airton 14,00 por dia seg a sext) transur tel: 32491800 http://www.transur.com.br/</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Empresas'!$A$1:$N$419</formula>
    <oldFormula>'Controle Empresas'!$A$1:$N$419</oldFormula>
  </rdn>
  <rcv guid="{DAEEB123-9C5D-4BF0-8F09-E7DEBC62D826}" action="add"/>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9 D107 D139 D144 D154 D157 D164 D369 D186 D204 D210 D227 D242 D280 D284 D329 D334 D349 D359 D362 D365:D367 D328" start="0" length="2147483647">
    <dxf>
      <font>
        <b/>
      </font>
    </dxf>
  </rfmt>
  <rfmt sheetId="1" sqref="D9 D107 D139 D144 D154 D157 D164 D369 D186 D204 D210 D227 D242 D280 D284 D329 D334 D349 D359 D362 D365:D367 D328" start="0" length="2147483647">
    <dxf>
      <font>
        <u val="none"/>
      </font>
    </dxf>
  </rfmt>
  <rfmt sheetId="1" sqref="D9 D107 D139 D144 D154 D157 D164 D369 D186 D204 D210 D227 D242 D280 D284 D329 D334 D349 D359 D362 D365:D367 D328" start="0" length="2147483647">
    <dxf>
      <font>
        <name val="Calibri"/>
        <scheme val="minor"/>
      </font>
    </dxf>
  </rfmt>
  <rfmt sheetId="1" sqref="E9 E107 E139 E144 E154 E157 E164 E369 E186 E204 E210 E227 E242 E280 E284 E329 E334 E349 E359 E362 E365:E367 E328" start="0" length="2147483647">
    <dxf>
      <font>
        <u val="none"/>
      </font>
    </dxf>
  </rfmt>
  <rfmt sheetId="1" sqref="E9 E107 E139 E144 E154 E157 E164 E369 E186 E204 E210 E227 E242 E280 E284 E329 E334 E349 E359 E362 E365:E367 E328">
    <dxf>
      <alignment horizontal="left" readingOrder="0"/>
    </dxf>
  </rfmt>
  <rcc rId="4313" sId="1">
    <nc r="E9" t="inlineStr">
      <is>
        <t>CONSTRUÇÃO/ABRIL</t>
      </is>
    </nc>
  </rcc>
  <rcc rId="4314" sId="1">
    <nc r="E139" t="inlineStr">
      <is>
        <t>METALURGICO   SETEMBRO</t>
      </is>
    </nc>
  </rcc>
  <rcc rId="4315" sId="1">
    <nc r="E362" t="inlineStr">
      <is>
        <t xml:space="preserve"> SINTAPPI/MAIO</t>
      </is>
    </nc>
  </rcc>
  <rcc rId="4316" sId="1">
    <nc r="E349" t="inlineStr">
      <is>
        <t>CONTRUÇAO/ABRIL</t>
      </is>
    </nc>
  </rcc>
  <rfmt sheetId="1" sqref="A1 A9 A107 A139 A144 A154 A157 A164 A369 A186 A204 A210 A227 A242 A280 A284 A329 A334 A349 A359 A362 A365:A367 A328">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N9" start="0" length="0">
    <dxf>
      <border>
        <left style="thin">
          <color indexed="64"/>
        </left>
        <right style="thin">
          <color indexed="64"/>
        </right>
        <top style="thin">
          <color indexed="64"/>
        </top>
        <bottom style="thin">
          <color indexed="64"/>
        </bottom>
      </border>
    </dxf>
  </rfmt>
  <rfmt sheetId="1" sqref="N107" start="0" length="0">
    <dxf>
      <border>
        <left style="thin">
          <color indexed="64"/>
        </left>
        <right style="thin">
          <color indexed="64"/>
        </right>
        <top style="thin">
          <color indexed="64"/>
        </top>
        <bottom style="thin">
          <color indexed="64"/>
        </bottom>
      </border>
    </dxf>
  </rfmt>
  <rfmt sheetId="1" sqref="N139" start="0" length="0">
    <dxf>
      <border>
        <left style="thin">
          <color indexed="64"/>
        </left>
        <right style="thin">
          <color indexed="64"/>
        </right>
        <top style="thin">
          <color indexed="64"/>
        </top>
        <bottom style="thin">
          <color indexed="64"/>
        </bottom>
      </border>
    </dxf>
  </rfmt>
  <rfmt sheetId="1" sqref="N144" start="0" length="0">
    <dxf>
      <border>
        <left style="thin">
          <color indexed="64"/>
        </left>
        <right style="thin">
          <color indexed="64"/>
        </right>
        <top style="thin">
          <color indexed="64"/>
        </top>
        <bottom style="thin">
          <color indexed="64"/>
        </bottom>
      </border>
    </dxf>
  </rfmt>
  <rfmt sheetId="1" sqref="N154" start="0" length="0">
    <dxf>
      <border>
        <left style="thin">
          <color indexed="64"/>
        </left>
        <right style="thin">
          <color indexed="64"/>
        </right>
        <top style="thin">
          <color indexed="64"/>
        </top>
        <bottom style="thin">
          <color indexed="64"/>
        </bottom>
      </border>
    </dxf>
  </rfmt>
  <rfmt sheetId="1" sqref="N157" start="0" length="0">
    <dxf>
      <border>
        <left style="thin">
          <color indexed="64"/>
        </left>
        <right style="thin">
          <color indexed="64"/>
        </right>
        <top style="thin">
          <color indexed="64"/>
        </top>
        <bottom style="thin">
          <color indexed="64"/>
        </bottom>
      </border>
    </dxf>
  </rfmt>
  <rfmt sheetId="1" sqref="N164" start="0" length="0">
    <dxf>
      <border>
        <left style="thin">
          <color indexed="64"/>
        </left>
        <right style="thin">
          <color indexed="64"/>
        </right>
        <top style="thin">
          <color indexed="64"/>
        </top>
        <bottom style="thin">
          <color indexed="64"/>
        </bottom>
      </border>
    </dxf>
  </rfmt>
  <rfmt sheetId="1" sqref="N328" start="0" length="0">
    <dxf>
      <border>
        <left style="thin">
          <color indexed="64"/>
        </left>
        <right style="thin">
          <color indexed="64"/>
        </right>
        <top style="thin">
          <color indexed="64"/>
        </top>
        <bottom style="thin">
          <color indexed="64"/>
        </bottom>
      </border>
    </dxf>
  </rfmt>
  <rfmt sheetId="1" sqref="N186" start="0" length="0">
    <dxf>
      <border>
        <left style="thin">
          <color indexed="64"/>
        </left>
        <right style="thin">
          <color indexed="64"/>
        </right>
        <top style="thin">
          <color indexed="64"/>
        </top>
        <bottom style="thin">
          <color indexed="64"/>
        </bottom>
      </border>
    </dxf>
  </rfmt>
  <rfmt sheetId="1" sqref="N204" start="0" length="0">
    <dxf>
      <border>
        <left style="thin">
          <color indexed="64"/>
        </left>
        <right style="thin">
          <color indexed="64"/>
        </right>
        <top style="thin">
          <color indexed="64"/>
        </top>
        <bottom style="thin">
          <color indexed="64"/>
        </bottom>
      </border>
    </dxf>
  </rfmt>
  <rfmt sheetId="1" sqref="N210" start="0" length="0">
    <dxf>
      <border>
        <left style="thin">
          <color indexed="64"/>
        </left>
        <right style="thin">
          <color indexed="64"/>
        </right>
        <top style="thin">
          <color indexed="64"/>
        </top>
        <bottom style="thin">
          <color indexed="64"/>
        </bottom>
      </border>
    </dxf>
  </rfmt>
  <rfmt sheetId="1" sqref="N227" start="0" length="0">
    <dxf>
      <border>
        <left style="thin">
          <color indexed="64"/>
        </left>
        <right style="thin">
          <color indexed="64"/>
        </right>
        <top style="thin">
          <color indexed="64"/>
        </top>
        <bottom style="thin">
          <color indexed="64"/>
        </bottom>
      </border>
    </dxf>
  </rfmt>
  <rfmt sheetId="1" sqref="N242" start="0" length="0">
    <dxf>
      <border>
        <left style="thin">
          <color indexed="64"/>
        </left>
        <right style="thin">
          <color indexed="64"/>
        </right>
        <top style="thin">
          <color indexed="64"/>
        </top>
        <bottom style="thin">
          <color indexed="64"/>
        </bottom>
      </border>
    </dxf>
  </rfmt>
  <rfmt sheetId="1" sqref="N280" start="0" length="0">
    <dxf>
      <border>
        <left style="thin">
          <color indexed="64"/>
        </left>
        <right style="thin">
          <color indexed="64"/>
        </right>
        <top style="thin">
          <color indexed="64"/>
        </top>
        <bottom style="thin">
          <color indexed="64"/>
        </bottom>
      </border>
    </dxf>
  </rfmt>
  <rfmt sheetId="1" sqref="N284" start="0" length="0">
    <dxf>
      <border>
        <left style="thin">
          <color indexed="64"/>
        </left>
        <right style="thin">
          <color indexed="64"/>
        </right>
        <top style="thin">
          <color indexed="64"/>
        </top>
        <bottom style="thin">
          <color indexed="64"/>
        </bottom>
      </border>
    </dxf>
  </rfmt>
  <rfmt sheetId="1" sqref="N329" start="0" length="0">
    <dxf>
      <border>
        <left style="thin">
          <color indexed="64"/>
        </left>
        <right style="thin">
          <color indexed="64"/>
        </right>
        <top style="thin">
          <color indexed="64"/>
        </top>
        <bottom style="thin">
          <color indexed="64"/>
        </bottom>
      </border>
    </dxf>
  </rfmt>
  <rfmt sheetId="1" sqref="N334" start="0" length="0">
    <dxf>
      <border>
        <left style="thin">
          <color indexed="64"/>
        </left>
        <right style="thin">
          <color indexed="64"/>
        </right>
        <top style="thin">
          <color indexed="64"/>
        </top>
        <bottom style="thin">
          <color indexed="64"/>
        </bottom>
      </border>
    </dxf>
  </rfmt>
  <rfmt sheetId="1" sqref="N349" start="0" length="0">
    <dxf>
      <border>
        <left style="thin">
          <color indexed="64"/>
        </left>
        <right style="thin">
          <color indexed="64"/>
        </right>
        <top style="thin">
          <color indexed="64"/>
        </top>
        <bottom style="thin">
          <color indexed="64"/>
        </bottom>
      </border>
    </dxf>
  </rfmt>
  <rfmt sheetId="1" sqref="N359" start="0" length="0">
    <dxf>
      <border>
        <left style="thin">
          <color indexed="64"/>
        </left>
        <right style="thin">
          <color indexed="64"/>
        </right>
        <top style="thin">
          <color indexed="64"/>
        </top>
        <bottom style="thin">
          <color indexed="64"/>
        </bottom>
      </border>
    </dxf>
  </rfmt>
  <rfmt sheetId="1" sqref="N362" start="0" length="0">
    <dxf>
      <border>
        <left style="thin">
          <color indexed="64"/>
        </left>
        <right style="thin">
          <color indexed="64"/>
        </right>
        <top style="thin">
          <color indexed="64"/>
        </top>
        <bottom style="thin">
          <color indexed="64"/>
        </bottom>
      </border>
    </dxf>
  </rfmt>
  <rfmt sheetId="1" sqref="N365" start="0" length="0">
    <dxf>
      <border>
        <top style="thin">
          <color indexed="64"/>
        </top>
      </border>
    </dxf>
  </rfmt>
  <rfmt sheetId="1" sqref="N365:N367" start="0" length="0">
    <dxf>
      <border>
        <right style="thin">
          <color indexed="64"/>
        </right>
      </border>
    </dxf>
  </rfmt>
  <rfmt sheetId="1" sqref="N367" start="0" length="0">
    <dxf>
      <border>
        <bottom style="thin">
          <color indexed="64"/>
        </bottom>
      </border>
    </dxf>
  </rfmt>
  <rfmt sheetId="1" sqref="N369" start="0" length="0">
    <dxf>
      <border>
        <left style="thin">
          <color indexed="64"/>
        </left>
        <right style="thin">
          <color indexed="64"/>
        </right>
        <top style="thin">
          <color indexed="64"/>
        </top>
        <bottom style="thin">
          <color indexed="64"/>
        </bottom>
      </border>
    </dxf>
  </rfmt>
  <rfmt sheetId="1" sqref="N9 N107 N139 N144 N154 N157 N164 N369 N186 N204 N210 N227 N242 N280 N284 N329 N334 N349 N359 N362 N365:N367 N328">
    <dxf>
      <border>
        <left style="thin">
          <color indexed="64"/>
        </left>
        <right style="thin">
          <color indexed="64"/>
        </right>
        <top style="thin">
          <color indexed="64"/>
        </top>
        <bottom style="thin">
          <color indexed="64"/>
        </bottom>
        <vertical style="thin">
          <color indexed="64"/>
        </vertical>
        <horizontal style="thin">
          <color indexed="64"/>
        </horizontal>
      </border>
    </dxf>
  </rfmt>
  <rcv guid="{3BCABC4F-4072-4ED9-90CC-E9BE96773387}" action="delete"/>
  <rdn rId="0" localSheetId="2" customView="1" name="Z_3BCABC4F_4072_4ED9_90CC_E9BE96773387_.wvu.FilterData" hidden="1" oldHidden="1">
    <formula>Particularidade!$A$1:$D$244</formula>
    <oldFormula>Particularidade!$A$1:$D$244</oldFormula>
  </rdn>
  <rdn rId="0" localSheetId="1" customView="1" name="Z_3BCABC4F_4072_4ED9_90CC_E9BE96773387_.wvu.Cols" hidden="1" oldHidden="1">
    <formula>'Controle Empresas'!$C:$C,'Controle Empresas'!$F:$F,'Controle Empresas'!$H:$H,'Controle Empresas'!$K:$K</formula>
    <oldFormula>'Controle Empresas'!$C:$F</oldFormula>
  </rdn>
  <rdn rId="0" localSheetId="1" customView="1" name="Z_3BCABC4F_4072_4ED9_90CC_E9BE96773387_.wvu.FilterData" hidden="1" oldHidden="1">
    <formula>'Controle Empresas'!$A$1:$N$419</formula>
    <oldFormula>'Controle Empresas'!$A$1:$N$419</oldFormula>
  </rdn>
  <rcv guid="{3BCABC4F-4072-4ED9-90CC-E9BE96773387}" action="add"/>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20" sId="2">
    <oc r="C399" t="inlineStr">
      <is>
        <t xml:space="preserve">AS FUNCIONARIAS DANIELA VT DE SEG A SEXTA 2 POR DIA LOGIN:31067650000188 SENHA:12345 as funcionárias tem adiantamento,ela passa o valor todo dia 02 , Daniela de licença maternidade. 19/03/2020 retorna de férias </t>
      </is>
    </oc>
    <nc r="C399" t="inlineStr">
      <is>
        <t xml:space="preserve">NÃO TEM FUNC COM  VT  MAIS DE SEG A SEXTA 2 POR DIA LOGIN:31067650000188 SENHA:12345 
As funcionárias tem adiantamento, ela passa o valor todo dia 02 
</t>
      </is>
    </nc>
  </rcc>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321" sId="1" ref="A408:XFD408"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6" exp="area" ref3D="1" dr="$K$1:$K$1048576" dn="Z_3BCABC4F_4072_4ED9_90CC_E9BE96773387_.wvu.Cols" sId="1"/>
    <undo index="4" exp="area" ref3D="1" dr="$H$1:$H$1048576" dn="Z_3BCABC4F_4072_4ED9_90CC_E9BE96773387_.wvu.Cols" sId="1"/>
    <undo index="2" exp="area" ref3D="1" dr="$F$1:$F$1048576" dn="Z_3BCABC4F_4072_4ED9_90CC_E9BE96773387_.wvu.Cols" sId="1"/>
    <undo index="1" exp="area" ref3D="1" dr="$C$1:$C$1048576" dn="Z_3BCABC4F_4072_4ED9_90CC_E9BE96773387_.wvu.Cols" sId="1"/>
    <undo index="0" exp="area" ref3D="1" dr="$C$1:$F$1048576" dn="Z_DFB7C661_5C1D_4491_B5BB_D24125818F62_.wvu.Cols" sId="1"/>
    <undo index="0" exp="area" ref3D="1" dr="$C$1:$F$1048576" dn="Z_DAEEB123_9C5D_4BF0_8F09_E7DEBC62D826_.wvu.Cols" sId="1"/>
  </rrc>
  <rcc rId="4322" sId="1">
    <oc r="M399" t="inlineStr">
      <is>
        <t>MARÇO</t>
      </is>
    </oc>
    <nc r="M399" t="inlineStr">
      <is>
        <t>MARÇOJá recolhe teto maximo na SDEVA (17.153.081/0001-62).Apenas emitir Pl sem retenção de inss</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Empresas'!$A$1:$N$420</formula>
    <oldFormula>'Controle Empresas'!$A$1:$N$420</oldFormula>
  </rdn>
  <rcv guid="{DAEEB123-9C5D-4BF0-8F09-E7DEBC62D826}"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26" sId="1">
    <oc r="M253" t="inlineStr">
      <is>
        <t>Folha (   ) BOL. ASTRANSP    (   )
INSS (   ) GFIP (   )                          PASSA HORAS NO FECHAMENTO</t>
      </is>
    </oc>
    <nc r="M253" t="inlineStr">
      <is>
        <t>Folha (   ) BOL. ASTRANSP    (   )
INSS (   ) GFIP (   )           passar s/m mês 05/2020</t>
      </is>
    </nc>
  </rcc>
  <rcc rId="4327" sId="1">
    <oc r="M264" t="inlineStr">
      <is>
        <r>
          <t xml:space="preserve">Folha (  )                                    </t>
        </r>
        <r>
          <rPr>
            <sz val="9"/>
            <color rgb="FFFF0000"/>
            <rFont val="Arial"/>
            <family val="2"/>
          </rPr>
          <t>Passa adiant até dia 25</t>
        </r>
        <r>
          <rPr>
            <sz val="9"/>
            <rFont val="Arial"/>
            <family val="2"/>
          </rPr>
          <t xml:space="preserve">
INSS (   )
FGTS e GFIP (   )                                         VT (  )                                                                                                                             </t>
        </r>
      </is>
    </oc>
    <nc r="M264" t="inlineStr">
      <is>
        <r>
          <t xml:space="preserve">Folha (  )                                    </t>
        </r>
        <r>
          <rPr>
            <sz val="9"/>
            <color rgb="FFFF0000"/>
            <rFont val="Arial"/>
            <family val="2"/>
          </rPr>
          <t>Passa adiant até dia 25</t>
        </r>
        <r>
          <rPr>
            <sz val="9"/>
            <rFont val="Arial"/>
            <family val="2"/>
          </rPr>
          <t xml:space="preserve">
INSS (   )
FGTS e GFIP (   )             passar sem movimento 05/2020                                                                                                                            </t>
        </r>
      </is>
    </nc>
  </rcc>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28" sId="1">
    <nc r="K402" t="inlineStr">
      <is>
        <t xml:space="preserve">NÃO </t>
      </is>
    </nc>
  </rc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Empresas'!$A$1:$N$421</formula>
    <oldFormula>'Controle Empresas'!$A$1:$N$421</oldFormula>
  </rdn>
  <rdn rId="0" localSheetId="1" customView="1" name="Z_44627F90_111A_4938_A3EC_3F862F83F7D7_.wvu.FilterData" hidden="1" oldHidden="1">
    <formula>'Controle Empresas'!$A$1:$N$420</formula>
    <oldFormula>'Controle Empresas'!$A$1:$N$420</oldFormula>
  </rdn>
  <rcv guid="{44627F90-111A-4938-A3EC-3F862F83F7D7}" action="add"/>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2" sId="1">
    <oc r="M399" t="inlineStr">
      <is>
        <t>MARÇOJá recolhe teto maximo na SDEVA (17.153.081/0001-62).Apenas emitir Pl sem retenção de inss</t>
      </is>
    </oc>
    <nc r="M399" t="inlineStr">
      <is>
        <t xml:space="preserve">MARÇOJá recolhe teto maximo na SDEVA (17.153.081/0001-62).Apenas emitir Pl sem retenção de inss. Não tem INSS, já recolhe teto máximo </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Empresas'!$A$1:$N$420</formula>
    <oldFormula>'Controle Empresas'!$A$1:$N$420</oldFormula>
  </rdn>
  <rcv guid="{590CEBDA-E7AE-4D8D-8613-56208662CCA9}" action="add"/>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5" sId="1">
    <oc r="M399" t="inlineStr">
      <is>
        <t xml:space="preserve">MARÇOJá recolhe teto maximo na SDEVA (17.153.081/0001-62).Apenas emitir Pl sem retenção de inss. Não tem INSS, já recolhe teto máximo </t>
      </is>
    </oc>
    <nc r="M399" t="inlineStr">
      <is>
        <t xml:space="preserve">MARÇOJá recolhe teto maximo na SDEVA (17.153.081/0001-62).Apenas emitir Pl sem retenção de inss. </t>
      </is>
    </nc>
  </rcc>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6" sId="1">
    <oc r="N47" t="inlineStr">
      <is>
        <t>SIM</t>
      </is>
    </oc>
    <nc r="N47" t="inlineStr">
      <is>
        <t>NÃO</t>
      </is>
    </nc>
  </rcc>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7" sId="1">
    <oc r="B325" t="inlineStr">
      <is>
        <t>CRISTIANE DE MEDEIROS NOGUEIRA</t>
      </is>
    </oc>
    <nc r="B325" t="inlineStr">
      <is>
        <t>CRISTIANNE DE MEDEIROS NOGUEIRA</t>
      </is>
    </nc>
  </rcc>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8" sId="2" odxf="1" dxf="1">
    <nc r="C317" t="inlineStr">
      <is>
        <t>Plano de saude descontar apenas coparticipação  Plasc. Login 4949 senha 14510243000184</t>
      </is>
    </nc>
    <odxf>
      <fill>
        <patternFill patternType="solid">
          <bgColor theme="0"/>
        </patternFill>
      </fill>
      <alignment horizontal="left" readingOrder="0"/>
    </odxf>
    <ndxf>
      <fill>
        <patternFill patternType="none">
          <bgColor indexed="65"/>
        </patternFill>
      </fill>
      <alignment horizontal="general" readingOrder="0"/>
    </ndxf>
  </rcc>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D449" start="0" length="0">
    <dxf>
      <numFmt numFmtId="19" formatCode="dd/mm/yyyy"/>
    </dxf>
  </rfmt>
  <rfmt sheetId="2" sqref="E449" start="0" length="0">
    <dxf>
      <numFmt numFmtId="19" formatCode="dd/mm/yyyy"/>
    </dxf>
  </rfmt>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9" sId="1">
    <oc r="M218" t="inlineStr">
      <is>
        <t xml:space="preserve">Folha e Pro labore (   ) TIRAR PRO LABORE ABRIL E MAIO 
INSS (   )            Plano de Saude 
FGTS e GFIP (   )                                                                                                                 Adiantamento (   )   </t>
      </is>
    </oc>
    <nc r="M218" t="inlineStr">
      <is>
        <t xml:space="preserve">Folha e Pro labore (   ) TIRAR PRO LABORE ABRIL E MAIO rodrigo
INSS (   )            Plano de Saude 
FGTS e GFIP (   )                                                                                                                 Adiantamento (   )   </t>
      </is>
    </nc>
  </rcc>
  <rcc rId="4340" sId="2">
    <oc r="C346" t="inlineStr">
      <is>
        <r>
          <t xml:space="preserve"> - CNPJ 27829502000186 SENHA viaexpressa@123 – </t>
        </r>
        <r>
          <rPr>
            <sz val="10"/>
            <color rgb="FFFF0000"/>
            <rFont val="Calibri"/>
            <family val="2"/>
          </rPr>
          <t>nenhum funcionário utilizando VT desde 12/2019.</t>
        </r>
        <r>
          <rPr>
            <sz val="10"/>
            <rFont val="Calibri"/>
            <family val="2"/>
          </rPr>
          <t xml:space="preserve">
Tem plano de saúde, valores fixos altera apenas se tiver coparticipação. 
Adiantamento, apenas quando ele solicita.</t>
        </r>
      </is>
    </oc>
    <nc r="C346" t="inlineStr">
      <is>
        <r>
          <t xml:space="preserve"> - CNPJ 27829502000186 SENHA viaexpressa@123 – </t>
        </r>
        <r>
          <rPr>
            <sz val="10"/>
            <color rgb="FFFF0000"/>
            <rFont val="Calibri"/>
            <family val="2"/>
          </rPr>
          <t>nenhum funcionário utilizando VT desde 12/2019.</t>
        </r>
        <r>
          <rPr>
            <sz val="10"/>
            <rFont val="Calibri"/>
            <family val="2"/>
          </rPr>
          <t xml:space="preserve">
Tem plano de saúde, valores fixos altera apenas se tiver coparticipação. 
Adiantamento, apenas quando ele solicita.                     KAIKE NÃO TERA MAIS PROLABORE </t>
        </r>
      </is>
    </nc>
  </rcc>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41" sId="2">
    <oc r="C346" t="inlineStr">
      <is>
        <r>
          <t xml:space="preserve"> - CNPJ 27829502000186 SENHA viaexpressa@123 – </t>
        </r>
        <r>
          <rPr>
            <sz val="10"/>
            <color rgb="FFFF0000"/>
            <rFont val="Calibri"/>
            <family val="2"/>
          </rPr>
          <t>nenhum funcionário utilizando VT desde 12/2019.</t>
        </r>
        <r>
          <rPr>
            <sz val="10"/>
            <rFont val="Calibri"/>
            <family val="2"/>
          </rPr>
          <t xml:space="preserve">
Tem plano de saúde, valores fixos altera apenas se tiver coparticipação. 
Adiantamento, apenas quando ele solicita.                     KAIKE NÃO TERA MAIS PROLABORE </t>
        </r>
      </is>
    </oc>
    <nc r="C346" t="inlineStr">
      <is>
        <r>
          <t xml:space="preserve"> - CNPJ 27829502000186 SENHA viaexpressa@123 – </t>
        </r>
        <r>
          <rPr>
            <sz val="10"/>
            <color rgb="FFFF0000"/>
            <rFont val="Calibri"/>
            <family val="2"/>
          </rPr>
          <t>nenhum funcionário utilizando VT desde 12/2019.</t>
        </r>
        <r>
          <rPr>
            <sz val="10"/>
            <rFont val="Calibri"/>
            <family val="2"/>
          </rPr>
          <t xml:space="preserve">
Tem plano de saúde, valores fixos altera apenas se tiver coparticipação. 
Adiantamento, apenas quando ele solicita.                                                                                                                                                                      KAIKE NÃO TERA MAIS PROLABORE A PARTIR DE ABR/2020 E RODRIGO NAO TERA EM ABR E EM MAIO DE 2020 APENAS</t>
        </r>
      </is>
    </nc>
  </rcc>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EA2840B9-4395-4F38-9C2E-B3C8A78F8E87}" action="delete"/>
  <rdn rId="0" localSheetId="2" customView="1" name="Z_EA2840B9_4395_4F38_9C2E_B3C8A78F8E87_.wvu.FilterData" hidden="1" oldHidden="1">
    <formula>Particularidade!$A$1:$D$244</formula>
    <oldFormula>Particularidade!$A$1:$D$244</oldFormula>
  </rdn>
  <rdn rId="0" localSheetId="1" customView="1" name="Z_EA2840B9_4395_4F38_9C2E_B3C8A78F8E87_.wvu.FilterData" hidden="1" oldHidden="1">
    <formula>'Controle Empresas'!$A$1:$N$420</formula>
    <oldFormula>'Controle Empresas'!$A$1:$N$420</oldFormula>
  </rdn>
  <rcv guid="{EA2840B9-4395-4F38-9C2E-B3C8A78F8E87}" action="add"/>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44" sId="2">
    <oc r="C117" t="inlineStr">
      <is>
        <t>PIS  SOBRE A FOLHA
PLANO DE SAÚDE FIXO 
SEGURO DE VIDA R$4,15 POR FUNCIONARIO
ENTREGAR ATÉ O DIA 30. 
Tem quatro RPAS até acabar o projeto. Tem ISSQN quando tiver RPA (Valor da Guia R$191,40): 01.149.866/0001-21 CENTRO DE APOIO E SOLIDARIED` AIDS
412 Raquel  R$500,00 – ARTESÃO BORDADOR (Código do Serviço: 08.02)
413 Joane R$ 1040,00 - ADVOGADO (Código do Serviço: 17.14)
416 Flavia R$1248,00 – PSICOLOGO CLINICO (Código do Serviço: 04.16)
417 Jaferson R$1040,00 – ASSISTENTE SOCIAL (Código do Serviço: 27.01)
ISSQN coloca no momento que gera o RPA, de acordo com o que elas trabalham é 5%.
Data de pagamento sempre último dia do mês.</t>
      </is>
    </oc>
    <nc r="C117" t="inlineStr">
      <is>
        <t>PIS  SOBRE A FOLHA
PLANO DE SAÚDE FIXO 
SEGURO DE VIDA R$4,15 POR FUNCIONARIO
ENTREGAR ATÉ O DIA 30. 
Tem quatro RPAS até acabar o projeto. Tem ISSQN quando tiver RPA (Valor da Guia R$191,40): 01.149.866/0001-21 CENTRO DE APOIO E SOLIDARIED` AIDS
412 Raquel  R$500,00 Bruto – ARTESÃO BORDADOR (Código do Serviço: 08.02)
413 Joane R$ 1040,00 Bruto - ADVOGADO (Código do Serviço: 17.14)
416 Flavia R$1248,00 Bruto– PSICOLOGO CLINICO (Código do Serviço: 04.16)
417 Jaferson R$1040,00 Bruto– ASSISTENTE SOCIAL (Código do Serviço: 27.01)
ISSQN coloca no momento que gera o RPA, de acordo com o que elas trabalham é 5%.
Data de pagamento sempre último dia do mês.</t>
      </is>
    </nc>
  </rcc>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45" sId="1">
    <nc r="N293" t="inlineStr">
      <is>
        <t>Parcelamento INSS</t>
      </is>
    </nc>
  </rcc>
  <rcc rId="4346" sId="1">
    <oc r="H340" t="inlineStr">
      <is>
        <t>SIMEI</t>
      </is>
    </oc>
    <nc r="H340" t="inlineStr">
      <is>
        <t>s/m</t>
      </is>
    </nc>
  </rcc>
</revisions>
</file>

<file path=xl/revisions/revisionLog3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Empresas'!$A$1:$N$420</formula>
    <oldFormula>'Controle Empresas'!$A$1:$N$420</oldFormula>
  </rdn>
  <rcv guid="{DAEEB123-9C5D-4BF0-8F09-E7DEBC62D826}" action="add"/>
</revisions>
</file>

<file path=xl/revisions/revisionLog3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0" sId="1">
    <oc r="I17" t="inlineStr">
      <is>
        <t>PRO-LABORE</t>
      </is>
    </oc>
    <nc r="I17" t="inlineStr">
      <is>
        <t>S/M</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Empresas'!$A$1:$N$420</formula>
    <oldFormula>'Controle Empresas'!$A$1:$N$420</oldFormula>
  </rdn>
  <rcv guid="{DAEEB123-9C5D-4BF0-8F09-E7DEBC62D826}" action="add"/>
</revisions>
</file>

<file path=xl/revisions/revisionLog3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4" sId="1">
    <oc r="N39" t="inlineStr">
      <is>
        <t>SIM</t>
      </is>
    </oc>
    <nc r="N39" t="inlineStr">
      <is>
        <t>NÂO</t>
      </is>
    </nc>
  </rcc>
</revisions>
</file>

<file path=xl/revisions/revisionLog3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5" sId="1">
    <nc r="N403" t="inlineStr">
      <is>
        <t>SIM</t>
      </is>
    </nc>
  </rcc>
  <rcc rId="4356" sId="1">
    <nc r="N28" t="inlineStr">
      <is>
        <t>SIM</t>
      </is>
    </nc>
  </rcc>
</revisions>
</file>

<file path=xl/revisions/revisionLog3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7" sId="1">
    <oc r="M296" t="inlineStr">
      <is>
        <r>
          <t xml:space="preserve">Recibo e-social (   )                             Guia e-social (   )                                                                                                                      Recibo Astrasp (   )                             Folha de ponto  (     )                                                                                      </t>
        </r>
        <r>
          <rPr>
            <b/>
            <sz val="9"/>
            <color rgb="FFFF0000"/>
            <rFont val="Arial"/>
            <family val="2"/>
          </rPr>
          <t>Postar junto com a folha da Adriana Duque no site. 2 vt seg a sab</t>
        </r>
      </is>
    </oc>
    <nc r="M296" t="inlineStr">
      <is>
        <r>
          <t xml:space="preserve">Recibo e-social (   )                             Guia e-social (   )                                                                                                                      Recibo Astrasp (   )                             Folha de ponto  (     )                                                                                      </t>
        </r>
        <r>
          <rPr>
            <b/>
            <sz val="9"/>
            <color rgb="FFFF0000"/>
            <rFont val="Arial"/>
            <family val="2"/>
          </rPr>
          <t>Postar junto com a folha da Adriana Duque no site. 2 vt seg a sab. NÃO GERAR BOLETO DURANTE A PANDEMIA</t>
        </r>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Empresas'!$A$1:$N$420</formula>
    <oldFormula>'Controle Empresas'!$A$1:$N$420</oldFormula>
  </rdn>
  <rcv guid="{590CEBDA-E7AE-4D8D-8613-56208662CCA9}" action="add"/>
</revisions>
</file>

<file path=xl/revisions/revisionLog3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60" sId="1">
    <oc r="N166" t="inlineStr">
      <is>
        <t>NÃO</t>
      </is>
    </oc>
    <nc r="N166" t="inlineStr">
      <is>
        <t>SIM</t>
      </is>
    </nc>
  </rcc>
  <rcc rId="4361" sId="1">
    <oc r="N167" t="inlineStr">
      <is>
        <t>NÃO</t>
      </is>
    </oc>
    <nc r="N167" t="inlineStr">
      <is>
        <t>SIM</t>
      </is>
    </nc>
  </rcc>
  <rcc rId="4362" sId="1">
    <oc r="N168" t="inlineStr">
      <is>
        <t>NÃO</t>
      </is>
    </oc>
    <nc r="N168" t="inlineStr">
      <is>
        <t>SIM</t>
      </is>
    </nc>
  </rcc>
  <rcc rId="4363" sId="1">
    <oc r="N169" t="inlineStr">
      <is>
        <t>NÃO</t>
      </is>
    </oc>
    <nc r="N169" t="inlineStr">
      <is>
        <t>SIM</t>
      </is>
    </nc>
  </rcc>
  <rcc rId="4364" sId="1">
    <oc r="N170" t="inlineStr">
      <is>
        <t>NÃO</t>
      </is>
    </oc>
    <nc r="N170" t="inlineStr">
      <is>
        <t>SIM</t>
      </is>
    </nc>
  </rcc>
  <rcc rId="4365" sId="1">
    <oc r="N172" t="inlineStr">
      <is>
        <t>NÃO</t>
      </is>
    </oc>
    <nc r="N172" t="inlineStr">
      <is>
        <t>SIM</t>
      </is>
    </nc>
  </rcc>
  <rcc rId="4366" sId="1">
    <oc r="N174" t="inlineStr">
      <is>
        <t>NÃO</t>
      </is>
    </oc>
    <nc r="N174" t="inlineStr">
      <is>
        <t>SIM</t>
      </is>
    </nc>
  </rcc>
  <rcc rId="4367" sId="1">
    <oc r="N178" t="inlineStr">
      <is>
        <t>NÃO</t>
      </is>
    </oc>
    <nc r="N178" t="inlineStr">
      <is>
        <t>SIM</t>
      </is>
    </nc>
  </rcc>
</revisions>
</file>

<file path=xl/revisions/revisionLog3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68" sId="2">
    <oc r="C299" t="inlineStr">
      <is>
        <t xml:space="preserve">Plano de saude é fixo Lucia e Joao 1.1131,91 cada por mes e Roberta 316,12 e Thales 188,98 verificar quando mudar anualmente pedir.
TODO MÊS PASSA OS EXTRAS EM PLANILHAS . PAGA SEMPRE NA SEXTA FEIRA , DIA 25 SEMPRE JÁ PEDIR O FECHAMENTO 
Funcionarios que tiverem Plano de Saúde AME é descontado 1,00 - Quando tiver exames especificar
Desconto de alimentação 1,00 para todos
TEM PENSAO ALIMENTICIA 15 % LIQUIDO TEM PENSÃO ALIMENTICIA IGOR RENAN 24%LIQUIDO(FERIAS,RESCISÃO,13º)
Fazer recarga de Vale transporte. Astransp login 16904245000183 senha 52170000(2vt para todos- 2ª a  6ª - Aristides,Igor Renan,Pedro Dias,Selma,Valmir,Carlos Roberto,Ramon e Gabriel, que esta afastado ate 16/01/2020 ainda permanece afastado esperando reposicionamento
Senha empregador web: Login: RODRICARLX  Senha: 51170000RO
 adiantamento toda sexta feria mandar junto com a folha de pagamento ,ADIANTAMENTO 40%           
Pagamento sempre Primeiro dia util , Pedir o fechamento do mês, descontos de farmacia, plano medico , faltas em dias e horas ,Adiantamento sempre dia 15 e 40 % sobre o salario base.   </t>
      </is>
    </oc>
    <nc r="C299" t="inlineStr">
      <is>
        <t xml:space="preserve">Plano de saude é fixo Lucia e Joao 1.1131,91 cada por mes e Roberta 316,12 e Thales 188,98 verificar quando mudar anualmente pedir.
TODO MÊS PASSA OS EXTRAS EM PLANILHAS . PAGA SEMPRE NA SEXTA FEIRA , DIA 25 SEMPRE JÁ PEDIR O FECHAMENTO 
Funcionarios que tiverem Plano de Saúde AME é descontado 1,00 - Quando tiver exames especificar
Desconto de alimentação 1,00 para todos
TEM PENSAO ALIMENTICIA  LIQUIDO IGOR RENAN 24%LIQUIDO(FERIAS,RESCISÃO,13º)
Fazer recarga de Vale transporte. Astransp login 16904245000183 senha 52170000(2vt para todos- 2ª a  6ª - Aristides,Igor Renan,Pedro Dias,Selma,Valmir,Carlos Roberto,Ramon e Gabriel, que esta afastado ate 16/01/2020 ainda permanece afastado esperando reposicionamento
Senha empregador web: Login: RODRICARLX  Senha: 51170000RO
 adiantamento toda sexta feria mandar junto com a folha de pagamento ,ADIANTAMENTO 40%           
Pagamento sempre Primeiro dia util , Pedir o fechamento do mês, descontos de farmacia, plano medico , faltas em dias e horas ,Adiantamento sempre dia 15 e 40 % sobre o salario base.   </t>
      </is>
    </nc>
  </rcc>
</revisions>
</file>

<file path=xl/revisions/revisionLog3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443" start="0" length="0">
    <dxf>
      <numFmt numFmtId="21" formatCode="dd/mmm"/>
    </dxf>
  </rfmt>
  <rfmt sheetId="1" sqref="O443" start="0" length="0">
    <dxf>
      <numFmt numFmtId="21" formatCode="dd/mmm"/>
    </dxf>
  </rfmt>
  <rcc rId="4369" sId="1">
    <oc r="L211" t="inlineStr">
      <is>
        <t>ENTREGAR</t>
      </is>
    </oc>
    <nc r="L211" t="inlineStr">
      <is>
        <t>POR E-MAIL</t>
      </is>
    </nc>
  </rcc>
</revisions>
</file>

<file path=xl/revisions/revisionLog3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70" sId="2">
    <oc r="C229" t="inlineStr">
      <is>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ALIMENTAÇÃO
VALOR DO TICKET POR DIA 13,20 EM JF E QUANDO TEM FUNCIONÁRIO EM BH 21,00 O DIA
</t>
      </is>
    </oc>
    <nc r="C229" t="inlineStr">
      <is>
        <t xml:space="preserve">• TEM ADIANTAMENTO SALARIAL ATÉ O DIA 15 DO MES - 40% DO SALÁRIO NOMINAL Socios tem adiantamento de 2.000,00 por mes.
• MENSALMENTE PASSA DADOS PARA A FOLHA DE PAGAMENTO (HORA EXTRA, FALTAS, PLANO DE SAUDE, ADICIONAL NOTURNO (24%) - Recarga de VT e de VALE ALIMENTAÇÂO  (sempre do 5º dia util ate o proximo 5ºdia util do outro mês)o desconto em folha do VT é de 6% e o do Vale Alimentação é de 10%.AS RECARGAS A PARTIR DE 11/2019 ESTÃO SENDO FEOTAS PELA DENISE DA ARCONGEL.
 Insalubridade 998,00*20%=199,60/30=6,65 x dias de insalubridade. Astransp login 23245145000158 senha 23245        ALELO REFEIÇÃO    Site da Alelo    CPF: 079.365.616-84 DN: 30/10/1986     @Arcongelar1    Dúvidas: (11) 4003-7779   Recargas são feitas sempre do 5º dia ulil seguinte até o proximo 5º dia util                                                                                                                                   Gerar boleto 4 dias úteis antes de mês acabar TANTO DE VT COMO DE REFEIÇÃO
VALOR DO TICKET POR DIA 13,20 EM JF E QUANDO TEM FUNCIONÁRIO EM BH 21,00 O DIA
</t>
      </is>
    </nc>
  </rcc>
</revisions>
</file>

<file path=xl/revisions/revisionLog3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71" sId="1">
    <oc r="L411" t="inlineStr">
      <is>
        <t>ENTREGAR</t>
      </is>
    </oc>
    <nc r="L411" t="inlineStr">
      <is>
        <t>E-MAIL</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Empresas'!$A$1:$N$420</formula>
    <oldFormula>'Controle Empresas'!$A$1:$N$420</oldFormula>
  </rdn>
  <rcv guid="{590CEBDA-E7AE-4D8D-8613-56208662CCA9}" action="add"/>
</revisions>
</file>

<file path=xl/revisions/revisionLog3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74" sId="1">
    <oc r="L30" t="inlineStr">
      <is>
        <t>ENTREGAR</t>
      </is>
    </oc>
    <nc r="L30" t="inlineStr">
      <is>
        <t>EMAIL</t>
      </is>
    </nc>
  </rcc>
</revisions>
</file>

<file path=xl/revisions/revisionLog3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75" sId="1">
    <oc r="L129" t="inlineStr">
      <is>
        <t>ENTREGAR</t>
      </is>
    </oc>
    <nc r="L129" t="inlineStr">
      <is>
        <t>EMAIL</t>
      </is>
    </nc>
  </rcc>
</revisions>
</file>

<file path=xl/revisions/revisionLog3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76" sId="1">
    <oc r="L411" t="inlineStr">
      <is>
        <t>E-MAIL</t>
      </is>
    </oc>
    <nc r="L411" t="inlineStr">
      <is>
        <t>SITE</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Empresas'!$A$1:$N$420</formula>
    <oldFormula>'Controle Empresas'!$A$1:$N$420</oldFormula>
  </rdn>
  <rcv guid="{590CEBDA-E7AE-4D8D-8613-56208662CCA9}" action="add"/>
</revisions>
</file>

<file path=xl/revisions/revisionLog3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379" sId="1" ref="A402:XFD402"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AEEB123_9C5D_4BF0_8F09_E7DEBC62D826_.wvu.Cols" sId="1"/>
    <undo index="0" exp="area" ref3D="1" dr="$C$1:$F$1048576" dn="Z_DFB7C661_5C1D_4491_B5BB_D24125818F62_.wvu.Cols" sId="1"/>
    <undo index="6" exp="area" ref3D="1" dr="$K$1:$K$1048576" dn="Z_3BCABC4F_4072_4ED9_90CC_E9BE96773387_.wvu.Cols" sId="1"/>
    <undo index="4" exp="area" ref3D="1" dr="$H$1:$H$1048576" dn="Z_3BCABC4F_4072_4ED9_90CC_E9BE96773387_.wvu.Cols" sId="1"/>
    <undo index="2" exp="area" ref3D="1" dr="$F$1:$F$1048576" dn="Z_3BCABC4F_4072_4ED9_90CC_E9BE96773387_.wvu.Cols" sId="1"/>
    <undo index="1" exp="area" ref3D="1" dr="$C$1:$C$1048576" dn="Z_3BCABC4F_4072_4ED9_90CC_E9BE96773387_.wvu.Cols" sId="1"/>
  </rrc>
  <rcc rId="4380" sId="1">
    <nc r="A402">
      <v>911</v>
    </nc>
  </rcc>
  <rcc rId="4381" sId="1" xfDxf="1" dxf="1">
    <nc r="B402" t="inlineStr">
      <is>
        <t>ESPACO DO CORPO</t>
      </is>
    </nc>
    <ndxf>
      <font>
        <sz val="9"/>
        <color rgb="FF263238"/>
        <name val="Arial"/>
        <scheme val="none"/>
      </font>
      <alignment horizontal="center" vertical="center" readingOrder="0"/>
      <border outline="0">
        <left style="thin">
          <color indexed="64"/>
        </left>
        <right style="thin">
          <color indexed="64"/>
        </right>
        <top style="thin">
          <color indexed="64"/>
        </top>
        <bottom style="thin">
          <color indexed="64"/>
        </bottom>
      </border>
    </ndxf>
  </rcc>
  <rcc rId="4382" sId="1">
    <nc r="G402" t="inlineStr">
      <is>
        <t>CARL</t>
      </is>
    </nc>
  </rcc>
  <rcc rId="4383" sId="1">
    <nc r="I402" t="inlineStr">
      <is>
        <t>PRO-LABORE</t>
      </is>
    </nc>
  </rcc>
  <rcc rId="4384" sId="1">
    <nc r="H402" t="inlineStr">
      <is>
        <t>n</t>
      </is>
    </nc>
  </rcc>
  <rcc rId="4385" sId="1">
    <nc r="J402">
      <v>21</v>
    </nc>
  </rcc>
  <rcc rId="4386" sId="1">
    <nc r="M402" t="inlineStr">
      <is>
        <t>inicio 04.2020</t>
      </is>
    </nc>
  </rcc>
  <rrc rId="4387" sId="1" ref="A403:XFD403"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AEEB123_9C5D_4BF0_8F09_E7DEBC62D826_.wvu.Cols" sId="1"/>
    <undo index="0" exp="area" ref3D="1" dr="$C$1:$F$1048576" dn="Z_DFB7C661_5C1D_4491_B5BB_D24125818F62_.wvu.Cols" sId="1"/>
    <undo index="6" exp="area" ref3D="1" dr="$K$1:$K$1048576" dn="Z_3BCABC4F_4072_4ED9_90CC_E9BE96773387_.wvu.Cols" sId="1"/>
    <undo index="4" exp="area" ref3D="1" dr="$H$1:$H$1048576" dn="Z_3BCABC4F_4072_4ED9_90CC_E9BE96773387_.wvu.Cols" sId="1"/>
    <undo index="2" exp="area" ref3D="1" dr="$F$1:$F$1048576" dn="Z_3BCABC4F_4072_4ED9_90CC_E9BE96773387_.wvu.Cols" sId="1"/>
    <undo index="1" exp="area" ref3D="1" dr="$C$1:$C$1048576" dn="Z_3BCABC4F_4072_4ED9_90CC_E9BE96773387_.wvu.Cols" sId="1"/>
  </rrc>
  <rcc rId="4388" sId="1">
    <nc r="A403">
      <v>912</v>
    </nc>
  </rcc>
  <rcc rId="4389" sId="1">
    <nc r="H403" t="inlineStr">
      <is>
        <t>DOMÉSTICO</t>
      </is>
    </nc>
  </rcc>
  <rcc rId="4390" sId="1">
    <nc r="I403">
      <v>1</v>
    </nc>
  </rcc>
  <rcc rId="4391" sId="1">
    <nc r="J403">
      <v>25</v>
    </nc>
  </rcc>
  <rcc rId="4392" sId="1" odxf="1" dxf="1" numFmtId="22">
    <nc r="M403">
      <v>43922</v>
    </nc>
    <odxf>
      <numFmt numFmtId="0" formatCode="General"/>
    </odxf>
    <ndxf>
      <numFmt numFmtId="22" formatCode="mmm/yy"/>
    </ndxf>
  </rcc>
  <rcc rId="4393" sId="1">
    <nc r="B403" t="inlineStr">
      <is>
        <t>ESPACO DO CORPO</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Empresas'!$A$1:$N$422</formula>
    <oldFormula>'Controle Empresas'!$A$1:$N$422</oldFormula>
  </rdn>
  <rcv guid="{DAEEB123-9C5D-4BF0-8F09-E7DEBC62D826}" action="add"/>
</revisions>
</file>

<file path=xl/revisions/revisionLog3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97" sId="1">
    <oc r="A403">
      <v>912</v>
    </oc>
    <nc r="A403">
      <v>913</v>
    </nc>
  </rcc>
  <rcc rId="4398" sId="1">
    <oc r="B403" t="inlineStr">
      <is>
        <t>ESPACO DO CORPO</t>
      </is>
    </oc>
    <nc r="B403" t="inlineStr">
      <is>
        <t>DIOGO ALCANTARA (ESPAÇO DO CORPO)</t>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Empresas'!$A$1:$N$422</formula>
    <oldFormula>'Controle Empresas'!$A$1:$N$422</oldFormula>
  </rdn>
  <rcv guid="{DAEEB123-9C5D-4BF0-8F09-E7DEBC62D826}" action="add"/>
</revisions>
</file>

<file path=xl/revisions/revisionLog3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02" sId="2">
    <oc r="C498" t="inlineStr">
      <is>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txt.PLASC PLANO DE SAUDE LOGIN 4789 SENHA 13500865000169</t>
      </is>
    </oc>
    <nc r="C498" t="inlineStr">
      <is>
        <t>Tem desconto de vale transporte, (não fazemos a recarga), faz lançamentos de extras, e envia a planilha para verificação, funcionários fracionam as férias antes de gerar as atuais verificar a anterior e se necessário gerar-la na dominio. Faz  13° integral em novembro, gerar arquivo txt para o banco. modelo: (C:\Users\ariadne.schepper\Desktop\credito.txt), salvar na tela e jogar para a pasta mensal, os recibos também vão em txt tutorial esta em:P:\documentos\OneDrive - Novus Contabilidade\Doc Compartilhado\Pessoal\Relatórios Sefip\Smart NX\2020 -  processo de recibo  PLASC PLANO DE SAUDE LOGIN 4789 SENHA 13500865000169</t>
      </is>
    </nc>
  </rcc>
</revisions>
</file>

<file path=xl/revisions/revisionLog3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403" sId="1" ref="A413:XFD413"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AEEB123_9C5D_4BF0_8F09_E7DEBC62D826_.wvu.Cols" sId="1"/>
    <undo index="0" exp="area" ref3D="1" dr="$C$1:$F$1048576" dn="Z_DFB7C661_5C1D_4491_B5BB_D24125818F62_.wvu.Cols" sId="1"/>
    <undo index="6" exp="area" ref3D="1" dr="$K$1:$K$1048576" dn="Z_3BCABC4F_4072_4ED9_90CC_E9BE96773387_.wvu.Cols" sId="1"/>
    <undo index="4" exp="area" ref3D="1" dr="$H$1:$H$1048576" dn="Z_3BCABC4F_4072_4ED9_90CC_E9BE96773387_.wvu.Cols" sId="1"/>
    <undo index="2" exp="area" ref3D="1" dr="$F$1:$F$1048576" dn="Z_3BCABC4F_4072_4ED9_90CC_E9BE96773387_.wvu.Cols" sId="1"/>
    <undo index="1" exp="area" ref3D="1" dr="$C$1:$C$1048576" dn="Z_3BCABC4F_4072_4ED9_90CC_E9BE96773387_.wvu.Cols" sId="1"/>
  </rrc>
  <rcc rId="4404" sId="1">
    <nc r="A413">
      <v>911</v>
    </nc>
  </rcc>
  <rcc rId="4405" sId="1" odxf="1" dxf="1">
    <nc r="B413" t="inlineStr">
      <is>
        <t>ESPAÇO CONVIVER</t>
      </is>
    </nc>
    <odxf>
      <font>
        <sz val="9"/>
        <color auto="1"/>
        <name val="Arial"/>
        <scheme val="none"/>
      </font>
    </odxf>
    <ndxf>
      <font>
        <sz val="9"/>
        <color auto="1"/>
        <name val="Arial"/>
        <scheme val="none"/>
      </font>
    </ndxf>
  </rcc>
  <rcc rId="4406" sId="1">
    <nc r="G413" t="inlineStr">
      <is>
        <t>CARL</t>
      </is>
    </nc>
  </rcc>
</revisions>
</file>

<file path=xl/revisions/revisionLog3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1:XFD1048576" start="0" length="2147483647">
    <dxf>
      <font>
        <name val="Calibri Light"/>
        <scheme val="major"/>
      </font>
    </dxf>
  </rfmt>
  <rfmt sheetId="2" sqref="A1:XFD1048576" start="0" length="2147483647">
    <dxf>
      <font>
        <name val="Calibri"/>
        <scheme val="minor"/>
      </font>
    </dxf>
  </rfmt>
  <rfmt sheetId="2" sqref="A1:XFD1048576" start="0" length="2147483647">
    <dxf>
      <font>
        <sz val="10"/>
      </font>
    </dxf>
  </rfmt>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Empresas'!$A$1:$N$424</formula>
    <oldFormula>'Controle Empresas'!$A$1:$N$424</oldFormula>
  </rdn>
  <rdn rId="0" localSheetId="1" customView="1" name="Z_44627F90_111A_4938_A3EC_3F862F83F7D7_.wvu.FilterData" hidden="1" oldHidden="1">
    <formula>'Controle Empresas'!$A$1:$N$423</formula>
    <oldFormula>'Controle Empresas'!$A$1:$N$423</oldFormula>
  </rdn>
  <rcv guid="{44627F90-111A-4938-A3EC-3F862F83F7D7}" action="add"/>
</revisions>
</file>

<file path=xl/revisions/revisionLog3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AD023DC-4B9E-473F-AB98-4A1747DCD454}" action="delete"/>
  <rdn rId="0" localSheetId="2" customView="1" name="Z_4AD023DC_4B9E_473F_AB98_4A1747DCD454_.wvu.FilterData" hidden="1" oldHidden="1">
    <formula>Particularidade!$A$1:$D$244</formula>
    <oldFormula>Particularidade!$A$1:$D$244</oldFormula>
  </rdn>
  <rdn rId="0" localSheetId="1" customView="1" name="Z_4AD023DC_4B9E_473F_AB98_4A1747DCD454_.wvu.FilterData" hidden="1" oldHidden="1">
    <formula>'Controle Empresas'!$A$1:$N$423</formula>
    <oldFormula>'Controle Empresas'!$A$1:$N$423</oldFormula>
  </rdn>
  <rcv guid="{4AD023DC-4B9E-473F-AB98-4A1747DCD454}" action="add"/>
</revisions>
</file>

<file path=xl/revisions/revisionLog3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12" sId="1">
    <oc r="I125" t="inlineStr">
      <is>
        <t>PRO-LABORE</t>
      </is>
    </oc>
    <nc r="I125" t="inlineStr">
      <is>
        <t>S/M</t>
      </is>
    </nc>
  </rcc>
</revisions>
</file>

<file path=xl/revisions/revisionLog3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13" sId="1">
    <oc r="M227" t="inlineStr">
      <is>
        <r>
          <t xml:space="preserve">(  ) Folha e Pro-labore                                                                                                              (   ) GPS            
</t>
        </r>
        <r>
          <rPr>
            <b/>
            <sz val="9"/>
            <color rgb="FFFF0000"/>
            <rFont val="Arial"/>
            <family val="2"/>
          </rPr>
          <t xml:space="preserve">(   ) INSS RETIDO   - cód 2500 - p/ Flamengo </t>
        </r>
        <r>
          <rPr>
            <sz val="9"/>
            <color rgb="FFFF0000"/>
            <rFont val="Arial"/>
            <family val="2"/>
          </rPr>
          <t xml:space="preserve">  </t>
        </r>
        <r>
          <rPr>
            <sz val="9"/>
            <rFont val="Arial"/>
            <family val="2"/>
          </rPr>
          <t xml:space="preserve">                                                                                                                            (   ) FGTS e GFIP                                                                                                                             (    ) Vale transporte                                                                      *Passa comissão, bônus, falta e adiantamento.</t>
        </r>
      </is>
    </oc>
    <nc r="M227" t="inlineStr">
      <is>
        <r>
          <t xml:space="preserve">(  ) Folha e Pro-labore                                                                                                              (   ) GPS            
</t>
        </r>
        <r>
          <rPr>
            <b/>
            <sz val="9"/>
            <color rgb="FFFF0000"/>
            <rFont val="Arial"/>
            <family val="2"/>
          </rPr>
          <t xml:space="preserve">(   ) INSS RETIDO   - cód 2500 - p/ Flamengo </t>
        </r>
        <r>
          <rPr>
            <sz val="9"/>
            <color rgb="FFFF0000"/>
            <rFont val="Arial"/>
            <family val="2"/>
          </rPr>
          <t xml:space="preserve">  </t>
        </r>
        <r>
          <rPr>
            <sz val="9"/>
            <rFont val="Arial"/>
            <family val="2"/>
          </rPr>
          <t xml:space="preserve">                                                                                                                            (   ) FGTS e GFIP                IRRF (   )                                                                                                             (    ) Vale transporte                                                                      *Passa comissão, bônus, falta e adiantamento.</t>
        </r>
      </is>
    </nc>
  </rcc>
  <rcv guid="{3BCABC4F-4072-4ED9-90CC-E9BE96773387}" action="delete"/>
  <rdn rId="0" localSheetId="2" customView="1" name="Z_3BCABC4F_4072_4ED9_90CC_E9BE96773387_.wvu.FilterData" hidden="1" oldHidden="1">
    <formula>Particularidade!$A$1:$D$244</formula>
    <oldFormula>Particularidade!$A$1:$D$244</oldFormula>
  </rdn>
  <rdn rId="0" localSheetId="1" customView="1" name="Z_3BCABC4F_4072_4ED9_90CC_E9BE96773387_.wvu.Cols" hidden="1" oldHidden="1">
    <formula>'Controle Empresas'!$C:$C,'Controle Empresas'!$F:$F,'Controle Empresas'!$H:$H,'Controle Empresas'!$K:$K</formula>
    <oldFormula>'Controle Empresas'!$C:$C,'Controle Empresas'!$F:$F,'Controle Empresas'!$H:$H,'Controle Empresas'!$K:$K</oldFormula>
  </rdn>
  <rdn rId="0" localSheetId="1" customView="1" name="Z_3BCABC4F_4072_4ED9_90CC_E9BE96773387_.wvu.FilterData" hidden="1" oldHidden="1">
    <formula>'Controle Empresas'!$A$1:$N$423</formula>
    <oldFormula>'Controle Empresas'!$A$1:$N$423</oldFormula>
  </rdn>
  <rcv guid="{3BCABC4F-4072-4ED9-90CC-E9BE96773387}" action="add"/>
</revisions>
</file>

<file path=xl/revisions/revisionLog3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17" sId="1">
    <oc r="M154" t="inlineStr">
      <is>
        <r>
          <t xml:space="preserve">Folha e Pro labore (   )        IR (  )
INSS (   )
FGTS e GFIP (   )  
Tx negocial uma vez no ano (ver CCT) passa fechamento de folha
Tem Plano de saúde. </t>
        </r>
        <r>
          <rPr>
            <sz val="9"/>
            <color rgb="FFFF0000"/>
            <rFont val="Arial"/>
            <family val="2"/>
          </rPr>
          <t>Paga 1º dia util</t>
        </r>
      </is>
    </oc>
    <nc r="M154" t="inlineStr">
      <is>
        <r>
          <t xml:space="preserve">Folha e Pro labore (   )        IR (  )
INSS (   )
FGTS e GFIP (   )      ISSQN (      )
Tx negocial uma vez no ano (ver CCT) passa fechamento de folha
Tem Plano de saúde. </t>
        </r>
        <r>
          <rPr>
            <sz val="9"/>
            <color rgb="FFFF0000"/>
            <rFont val="Arial"/>
            <family val="2"/>
          </rPr>
          <t>Paga 1º dia util</t>
        </r>
      </is>
    </nc>
  </rcc>
</revisions>
</file>

<file path=xl/revisions/revisionLog3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18" sId="1">
    <oc r="M186" t="inlineStr">
      <is>
        <t>Adiantamento (   ) até dia 15 - 
Folha e Pro labore (   )
INSS (   )   IRRF (  )
FGTS e GFIP (   ) 
Tem insalubridade ,só o administrativo que não tem. Vale  Transporte (  ) Até dia 28.</t>
      </is>
    </oc>
    <nc r="M186" t="inlineStr">
      <is>
        <t>Adiantamento (   ) até dia 15 - 
Folha e Pro labore (   )
INSS (   )   IRRF (  )
FGTS e GFIP (   ) 
Tem insalubridade ,só o administrativo que não tem. Vale  Transporte (  ) Até dia 30.</t>
      </is>
    </nc>
  </rcc>
  <rcc rId="4419" sId="1">
    <oc r="M242" t="inlineStr">
      <is>
        <t xml:space="preserve">(  ) Folha e Pro-labore                                                                                                              (   ) GPS                                   (   ) Cont Negocial                                                                                                                    (   ) FGTS e GFIP                  (   ) IRRF                                                                                                                                            </t>
      </is>
    </oc>
    <nc r="M242" t="inlineStr">
      <is>
        <t xml:space="preserve">(  ) Folha e Pro-labore                                                                                                              (   ) GPS                                                                                                                                                    (   ) FGTS e GFIP                  (   ) IRRF                                                                                                                                            </t>
      </is>
    </nc>
  </rcc>
  <rcc rId="4420" sId="1">
    <oc r="M284" t="inlineStr">
      <is>
        <t>Pro labore (   )   Recibo mensal  (    )
INSS (   ) Adiantamento (      )
GFIP - Tem retenção na nota (   )    (   ) Folha Analitica    (     )  Sefip  (     ) Caged</t>
      </is>
    </oc>
    <nc r="M284" t="inlineStr">
      <is>
        <t>Pro labore (   )   Recibo mensal  (    )
INSS (   ) Adiantamento (      )
GFIP - Tem retenção na nota (   )    (   ) Folha Analitica    (     )  Sefip  (     ) Caged   VT (     )</t>
      </is>
    </nc>
  </rcc>
</revisions>
</file>

<file path=xl/revisions/revisionLog3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21" sId="1">
    <oc r="M334" t="inlineStr">
      <is>
        <t>Pro labore (   )  
INSS (   )
GFIP (   )                  VT  (   )</t>
      </is>
    </oc>
    <nc r="M334" t="inlineStr">
      <is>
        <t>Pro labore (   )     INSS  ROYALT (     )
INSS (   )
GFIP (   )                  VT  (   )</t>
      </is>
    </nc>
  </rcc>
  <rcc rId="4422" sId="1">
    <oc r="M227" t="inlineStr">
      <is>
        <r>
          <t xml:space="preserve">(  ) Folha e Pro-labore                                                                                                              (   ) GPS            
</t>
        </r>
        <r>
          <rPr>
            <b/>
            <sz val="9"/>
            <color rgb="FFFF0000"/>
            <rFont val="Arial"/>
            <family val="2"/>
          </rPr>
          <t xml:space="preserve">(   ) INSS RETIDO   - cód 2500 - p/ Flamengo </t>
        </r>
        <r>
          <rPr>
            <sz val="9"/>
            <color rgb="FFFF0000"/>
            <rFont val="Arial"/>
            <family val="2"/>
          </rPr>
          <t xml:space="preserve">  </t>
        </r>
        <r>
          <rPr>
            <sz val="9"/>
            <rFont val="Arial"/>
            <family val="2"/>
          </rPr>
          <t xml:space="preserve">                                                                                                                            (   ) FGTS e GFIP                IRRF (   )                                                                                                             (    ) Vale transporte                                                                      *Passa comissão, bônus, falta e adiantamento.</t>
        </r>
      </is>
    </oc>
    <nc r="M227" t="inlineStr">
      <is>
        <r>
          <t>(  ) Folha e Pro-labore                                                                                                              (   ) GPS                             INSS ROYALT (     )</t>
        </r>
        <r>
          <rPr>
            <b/>
            <sz val="9"/>
            <color rgb="FFFF0000"/>
            <rFont val="Arial"/>
            <family val="2"/>
          </rPr>
          <t xml:space="preserve"> </t>
        </r>
        <r>
          <rPr>
            <sz val="9"/>
            <color rgb="FFFF0000"/>
            <rFont val="Arial"/>
            <family val="2"/>
          </rPr>
          <t xml:space="preserve">  </t>
        </r>
        <r>
          <rPr>
            <sz val="9"/>
            <rFont val="Arial"/>
            <family val="2"/>
          </rPr>
          <t xml:space="preserve">                                                                                                                            (   ) FGTS e GFIP                IRRF (   )                                                                                                             (    ) Vale transporte                          *Passa comissão, bônus, falta e adiantamento.</t>
        </r>
      </is>
    </nc>
  </rcc>
</revisions>
</file>

<file path=xl/revisions/revisionLog3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23" sId="1">
    <oc r="M362" t="inlineStr">
      <is>
        <t xml:space="preserve">Folha e Pro labore (   )                                
INSS (   )
GFIP (  )
</t>
      </is>
    </oc>
    <nc r="M362" t="inlineStr">
      <is>
        <t>Folha e Pro labore (   )                                
INSS (   )             
GFIP (  )
IRRF (    )</t>
      </is>
    </nc>
  </rcc>
  <rcc rId="4424" sId="1">
    <oc r="M359" t="inlineStr">
      <is>
        <t xml:space="preserve">Folha e Pro labore (   )                                
INSS (   )
GFIP (  )        Adiantamento (     )
LPRESUMIDO/ tem horas noturnas </t>
      </is>
    </oc>
    <nc r="M359" t="inlineStr">
      <is>
        <t xml:space="preserve">Folha e Pro labore (   )                                
INSS (   )
GFIP (  )        Adiantamento (     )     tem horas noturnas </t>
      </is>
    </nc>
  </rcc>
  <rcc rId="4425" sId="1">
    <oc r="H349" t="inlineStr">
      <is>
        <t>S</t>
      </is>
    </oc>
    <nc r="H349" t="inlineStr">
      <is>
        <t>N</t>
      </is>
    </nc>
  </rcc>
  <rcc rId="4426" sId="1">
    <oc r="I349">
      <v>11</v>
    </oc>
    <nc r="I349">
      <v>0</v>
    </nc>
  </rcc>
  <rcc rId="4427" sId="1">
    <oc r="J349">
      <v>4</v>
    </oc>
    <nc r="J349" t="inlineStr">
      <is>
        <t>VAI BAIXAR</t>
      </is>
    </nc>
  </rcc>
  <rcv guid="{3BCABC4F-4072-4ED9-90CC-E9BE96773387}" action="delete"/>
  <rdn rId="0" localSheetId="2" customView="1" name="Z_3BCABC4F_4072_4ED9_90CC_E9BE96773387_.wvu.FilterData" hidden="1" oldHidden="1">
    <formula>Particularidade!$A$1:$D$244</formula>
    <oldFormula>Particularidade!$A$1:$D$244</oldFormula>
  </rdn>
  <rdn rId="0" localSheetId="1" customView="1" name="Z_3BCABC4F_4072_4ED9_90CC_E9BE96773387_.wvu.Cols" hidden="1" oldHidden="1">
    <formula>'Controle Empresas'!$C:$F,'Controle Empresas'!$K:$K</formula>
    <oldFormula>'Controle Empresas'!$C:$C,'Controle Empresas'!$F:$F,'Controle Empresas'!$H:$H,'Controle Empresas'!$K:$K</oldFormula>
  </rdn>
  <rdn rId="0" localSheetId="1" customView="1" name="Z_3BCABC4F_4072_4ED9_90CC_E9BE96773387_.wvu.FilterData" hidden="1" oldHidden="1">
    <formula>'Controle Empresas'!$A$1:$N$423</formula>
    <oldFormula>'Controle Empresas'!$A$1:$N$423</oldFormula>
  </rdn>
  <rcv guid="{3BCABC4F-4072-4ED9-90CC-E9BE96773387}" action="add"/>
</revisions>
</file>

<file path=xl/revisions/revisionLog3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9:E9 D369:E369 D139:E139 D144:E144 D154:E154 D157:E157 D164:E164 D365:E367 D186:E186 D204:E204 D210:E210 D227:E227 D242:E242 D280:E280 D284:E284 D329:E329 D334:E334 D359:E359 D362:E362 D180:E180 D107:E107 D328:E328" start="0" length="2147483647">
    <dxf>
      <font>
        <b val="0"/>
      </font>
    </dxf>
  </rfmt>
  <rfmt sheetId="1" sqref="D9:E9 D369:E369 D139:E139 D144:E144 D154:E154 D157:E157 D164:E164 D365:E367 D186:E186 D204:E204 D210:E210 D227:E227 D242:E242 D280:E280 D284:E284 D329:E329 D334:E334 D359:E359 D362:E362 D180:E180 D107:E107 D328:E328" start="0" length="2147483647">
    <dxf>
      <font>
        <color auto="1"/>
      </font>
    </dxf>
  </rfmt>
  <rfmt sheetId="1" sqref="D107 D139 D144 D154 D157 D164 D369 D186 D204 D210 D227 D242 D280 D284 D329 D334 D359 D362 D365:D367 D328" start="0" length="2147483647">
    <dxf>
      <font>
        <b/>
      </font>
    </dxf>
  </rfmt>
  <rfmt sheetId="1" sqref="D9 D180 D107" start="0" length="2147483647">
    <dxf>
      <font>
        <b/>
      </font>
    </dxf>
  </rfmt>
  <rfmt sheetId="1" sqref="D9:E9 D369:E369 D139:E139 D144:E144 D154:E154 D157:E157 D164:E164 D365:E367 D186:E186 D204:E204 D210:E210 D227:E227 D242:E242 D280:E280 D284:E284 D329:E329 D334:E334 D359:E359 D362:E362 D180:E180 D107:E107 D328:E328" start="0" length="2147483647">
    <dxf>
      <font>
        <b/>
      </font>
    </dxf>
  </rfmt>
  <rfmt sheetId="1" sqref="A1:B1 D1:E1 G1:J1 L1:N1">
    <dxf>
      <border>
        <top style="thin">
          <color indexed="64"/>
        </top>
        <bottom style="thin">
          <color indexed="64"/>
        </bottom>
        <horizontal style="thin">
          <color indexed="64"/>
        </horizontal>
      </border>
    </dxf>
  </rfmt>
  <rfmt sheetId="1" sqref="N1" start="0" length="0">
    <dxf>
      <border>
        <right style="thin">
          <color indexed="64"/>
        </right>
      </border>
    </dxf>
  </rfmt>
  <rfmt sheetId="1" sqref="N8:N9" start="0" length="0">
    <dxf>
      <border>
        <right style="thin">
          <color indexed="64"/>
        </right>
      </border>
    </dxf>
  </rfmt>
  <rfmt sheetId="1" sqref="N180 N107" start="0" length="0">
    <dxf>
      <border>
        <right style="thin">
          <color indexed="64"/>
        </right>
      </border>
    </dxf>
  </rfmt>
  <rfmt sheetId="1" sqref="N139" start="0" length="0">
    <dxf>
      <border>
        <right style="thin">
          <color indexed="64"/>
        </right>
      </border>
    </dxf>
  </rfmt>
  <rfmt sheetId="1" sqref="N144" start="0" length="0">
    <dxf>
      <border>
        <right style="thin">
          <color indexed="64"/>
        </right>
      </border>
    </dxf>
  </rfmt>
  <rfmt sheetId="1" sqref="N154" start="0" length="0">
    <dxf>
      <border>
        <right style="thin">
          <color indexed="64"/>
        </right>
      </border>
    </dxf>
  </rfmt>
  <rfmt sheetId="1" sqref="N157" start="0" length="0">
    <dxf>
      <border>
        <right style="thin">
          <color indexed="64"/>
        </right>
      </border>
    </dxf>
  </rfmt>
  <rfmt sheetId="1" sqref="N164" start="0" length="0">
    <dxf>
      <border>
        <right style="thin">
          <color indexed="64"/>
        </right>
      </border>
    </dxf>
  </rfmt>
  <rfmt sheetId="1" sqref="N328" start="0" length="0">
    <dxf>
      <border>
        <right style="thin">
          <color indexed="64"/>
        </right>
      </border>
    </dxf>
  </rfmt>
  <rfmt sheetId="1" sqref="N186" start="0" length="0">
    <dxf>
      <border>
        <right style="thin">
          <color indexed="64"/>
        </right>
      </border>
    </dxf>
  </rfmt>
  <rfmt sheetId="1" sqref="N204" start="0" length="0">
    <dxf>
      <border>
        <right style="thin">
          <color indexed="64"/>
        </right>
      </border>
    </dxf>
  </rfmt>
  <rfmt sheetId="1" sqref="N210" start="0" length="0">
    <dxf>
      <border>
        <right style="thin">
          <color indexed="64"/>
        </right>
      </border>
    </dxf>
  </rfmt>
  <rfmt sheetId="1" sqref="N227" start="0" length="0">
    <dxf>
      <border>
        <right style="thin">
          <color indexed="64"/>
        </right>
      </border>
    </dxf>
  </rfmt>
  <rfmt sheetId="1" sqref="N242" start="0" length="0">
    <dxf>
      <border>
        <right style="thin">
          <color indexed="64"/>
        </right>
      </border>
    </dxf>
  </rfmt>
  <rfmt sheetId="1" sqref="N280" start="0" length="0">
    <dxf>
      <border>
        <right style="thin">
          <color indexed="64"/>
        </right>
      </border>
    </dxf>
  </rfmt>
  <rfmt sheetId="1" sqref="N284" start="0" length="0">
    <dxf>
      <border>
        <right style="thin">
          <color indexed="64"/>
        </right>
      </border>
    </dxf>
  </rfmt>
  <rfmt sheetId="1" sqref="N329" start="0" length="0">
    <dxf>
      <border>
        <right style="thin">
          <color indexed="64"/>
        </right>
      </border>
    </dxf>
  </rfmt>
  <rfmt sheetId="1" sqref="N334" start="0" length="0">
    <dxf>
      <border>
        <right style="thin">
          <color indexed="64"/>
        </right>
      </border>
    </dxf>
  </rfmt>
  <rfmt sheetId="1" sqref="N359" start="0" length="0">
    <dxf>
      <border>
        <right style="thin">
          <color indexed="64"/>
        </right>
      </border>
    </dxf>
  </rfmt>
  <rfmt sheetId="1" sqref="N362" start="0" length="0">
    <dxf>
      <border>
        <right style="thin">
          <color indexed="64"/>
        </right>
      </border>
    </dxf>
  </rfmt>
  <rfmt sheetId="1" sqref="N365:N367" start="0" length="0">
    <dxf>
      <border>
        <right style="thin">
          <color indexed="64"/>
        </right>
      </border>
    </dxf>
  </rfmt>
  <rfmt sheetId="1" sqref="N369" start="0" length="0">
    <dxf>
      <border>
        <right style="thin">
          <color indexed="64"/>
        </right>
      </border>
    </dxf>
  </rfmt>
  <rfmt sheetId="1" sqref="M1:N1 M8:N9 M369:N369 M139:N139 M144:N144 M154:N154 M157:N157 M164:N164 M365:N367 M186:N186 M204:N204 M210:N210 M227:N227 M242:N242 M280:N280 M284:N284 M329:N329 M334:N334 M359:N359 M362:N362 M180:N180 M107:N107 M328:N328">
    <dxf>
      <border>
        <top style="thin">
          <color indexed="64"/>
        </top>
        <bottom style="thin">
          <color indexed="64"/>
        </bottom>
        <horizontal style="thin">
          <color indexed="64"/>
        </horizontal>
      </border>
    </dxf>
  </rfmt>
  <rfmt sheetId="1" sqref="D9:E9 D369:E369 D139:E139 D144:E144 D154:E154 D157:E157 D164:E164 D365:E367 D186:E186 D204:E204 D210:E210 D227:E227 D242:E242 D280:E280 D284:E284 D329:E329 D334:E334 D359:E359 D362:E362 D180:E180 D107:E107 D328:E328" start="0" length="2147483647">
    <dxf>
      <font>
        <color theme="4"/>
      </font>
    </dxf>
  </rfmt>
</revisions>
</file>

<file path=xl/revisions/revisionLog3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31" sId="2">
    <oc r="C534" t="inlineStr">
      <is>
        <r>
          <t>É PRESUMIDO TEM DESC. DE VT EM FOLHA E GERAMOS BOLETO, A FRANC. PASSA QUANTIDADE DE VALE TRANSPORTE. Login: 17525444000143 senha:12345 geramos boleto para as funcionárias( Josiane e Thaiza)</t>
        </r>
        <r>
          <rPr>
            <sz val="10"/>
            <color rgb="FFFF0000"/>
            <rFont val="Calibri"/>
            <family val="2"/>
          </rPr>
          <t>A FUNC. JOSIANE TEM PLANO DE QUE ESTA DIV DE 3 VEZES JÁ ESTA LANÇADO NO SISTEMA VAI ATÉ O MÊS 4/2020.</t>
        </r>
      </is>
    </oc>
    <nc r="C534" t="inlineStr">
      <is>
        <r>
          <t>É PRESUMIDO TEM DESC. DE VT EM FOLHA E GERAMOS BOLETO, A FRANC. PASSA QUANTIDADE DE VALE TRANSPORTE. Login: 17525444000143 senha:12345 geramos boleto para as funcionárias( Josiane e Thaiza E LILIAN ( 4 vt DE SEG A SEXTA))</t>
        </r>
        <r>
          <rPr>
            <sz val="10"/>
            <color rgb="FFFF0000"/>
            <rFont val="Calibri"/>
            <family val="2"/>
          </rPr>
          <t>A FUNC. JOSIANE TEM PLANO DE QUE ESTA DIV DE 3 VEZES JÁ ESTA LANÇADO NO SISTEMA VAI ATÉ O MÊS 4/2020.</t>
        </r>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Empresas'!$A$1:$N$423</formula>
    <oldFormula>'Controle Empresas'!$A$1:$N$423</oldFormula>
  </rdn>
  <rcv guid="{DAEEB123-9C5D-4BF0-8F09-E7DEBC62D826}" action="add"/>
</revisions>
</file>

<file path=xl/revisions/revisionLog3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35" sId="1">
    <nc r="D431" t="inlineStr">
      <is>
        <t xml:space="preserve">  </t>
      </is>
    </nc>
  </rcc>
</revisions>
</file>

<file path=xl/revisions/revisionLog3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4627F90-111A-4938-A3EC-3F862F83F7D7}" action="delete"/>
  <rdn rId="0" localSheetId="2" customView="1" name="Z_44627F90_111A_4938_A3EC_3F862F83F7D7_.wvu.FilterData" hidden="1" oldHidden="1">
    <formula>Particularidade!$A$1:$D$244</formula>
    <oldFormula>Particularidade!$A$1:$D$244</oldFormula>
  </rdn>
  <rdn rId="0" localSheetId="1" customView="1" name="Z_44627F90_111A_4938_A3EC_3F862F83F7D7_.wvu.PrintArea" hidden="1" oldHidden="1">
    <formula>'Controle Empresas'!$A$1:$N$424</formula>
    <oldFormula>'Controle Empresas'!$A$1:$N$424</oldFormula>
  </rdn>
  <rdn rId="0" localSheetId="1" customView="1" name="Z_44627F90_111A_4938_A3EC_3F862F83F7D7_.wvu.FilterData" hidden="1" oldHidden="1">
    <formula>'Controle Empresas'!$A$1:$N$423</formula>
    <oldFormula>'Controle Empresas'!$A$1:$N$423</oldFormula>
  </rdn>
  <rcv guid="{44627F90-111A-4938-A3EC-3F862F83F7D7}" action="add"/>
</revisions>
</file>

<file path=xl/revisions/revisionLog3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39" sId="1">
    <oc r="G151" t="inlineStr">
      <is>
        <t>CARL</t>
      </is>
    </oc>
    <nc r="G151" t="inlineStr">
      <is>
        <t>FRAN</t>
      </is>
    </nc>
  </rcc>
  <rcc rId="4440" sId="1">
    <oc r="G161" t="inlineStr">
      <is>
        <t>CARL</t>
      </is>
    </oc>
    <nc r="G161" t="inlineStr">
      <is>
        <t>FRAN</t>
      </is>
    </nc>
  </rcc>
  <rcc rId="4441" sId="1">
    <oc r="G190" t="inlineStr">
      <is>
        <t>CARL</t>
      </is>
    </oc>
    <nc r="G190" t="inlineStr">
      <is>
        <t>FRAN</t>
      </is>
    </nc>
  </rcc>
  <rcc rId="4442" sId="1">
    <oc r="G196" t="inlineStr">
      <is>
        <t>CARL</t>
      </is>
    </oc>
    <nc r="G196" t="inlineStr">
      <is>
        <t>FRAN</t>
      </is>
    </nc>
  </rcc>
  <rcc rId="4443" sId="1">
    <oc r="G197" t="inlineStr">
      <is>
        <t>CARL</t>
      </is>
    </oc>
    <nc r="G197" t="inlineStr">
      <is>
        <t>FRAN</t>
      </is>
    </nc>
  </rcc>
  <rcc rId="4444" sId="1">
    <oc r="G211" t="inlineStr">
      <is>
        <t>CARL</t>
      </is>
    </oc>
    <nc r="G211" t="inlineStr">
      <is>
        <t>FRAN</t>
      </is>
    </nc>
  </rcc>
  <rcc rId="4445" sId="1">
    <oc r="G215" t="inlineStr">
      <is>
        <t>CARL</t>
      </is>
    </oc>
    <nc r="G215" t="inlineStr">
      <is>
        <t>FRAN</t>
      </is>
    </nc>
  </rcc>
  <rcc rId="4446" sId="1">
    <oc r="G247" t="inlineStr">
      <is>
        <t>CARL</t>
      </is>
    </oc>
    <nc r="G247" t="inlineStr">
      <is>
        <t>FRAN</t>
      </is>
    </nc>
  </rcc>
  <rcc rId="4447" sId="1">
    <oc r="G267" t="inlineStr">
      <is>
        <t>CARL</t>
      </is>
    </oc>
    <nc r="G267" t="inlineStr">
      <is>
        <t>FRAN</t>
      </is>
    </nc>
  </rcc>
  <rcc rId="4448" sId="1">
    <oc r="G282" t="inlineStr">
      <is>
        <t>CARL</t>
      </is>
    </oc>
    <nc r="G282" t="inlineStr">
      <is>
        <t>FRAN</t>
      </is>
    </nc>
  </rcc>
  <rcc rId="4449" sId="1">
    <oc r="G290" t="inlineStr">
      <is>
        <t>CARL</t>
      </is>
    </oc>
    <nc r="G290" t="inlineStr">
      <is>
        <t>FRAN</t>
      </is>
    </nc>
  </rcc>
  <rcc rId="4450" sId="1">
    <oc r="G293" t="inlineStr">
      <is>
        <t>CARL</t>
      </is>
    </oc>
    <nc r="G293" t="inlineStr">
      <is>
        <t>FRAN</t>
      </is>
    </nc>
  </rcc>
  <rcc rId="4451" sId="1">
    <oc r="G296" t="inlineStr">
      <is>
        <t>CARL</t>
      </is>
    </oc>
    <nc r="G296" t="inlineStr">
      <is>
        <t>FRAN</t>
      </is>
    </nc>
  </rcc>
  <rcc rId="4452" sId="1">
    <oc r="G297" t="inlineStr">
      <is>
        <t>CARL</t>
      </is>
    </oc>
    <nc r="G297" t="inlineStr">
      <is>
        <t>FRAN</t>
      </is>
    </nc>
  </rcc>
  <rcc rId="4453" sId="1">
    <oc r="G301" t="inlineStr">
      <is>
        <t>CARL</t>
      </is>
    </oc>
    <nc r="G301" t="inlineStr">
      <is>
        <t>FRAN</t>
      </is>
    </nc>
  </rcc>
  <rcc rId="4454" sId="1">
    <oc r="G310" t="inlineStr">
      <is>
        <t>CARL</t>
      </is>
    </oc>
    <nc r="G310" t="inlineStr">
      <is>
        <t>FRAN</t>
      </is>
    </nc>
  </rcc>
  <rcc rId="4455" sId="1">
    <oc r="G325" t="inlineStr">
      <is>
        <t>CARL</t>
      </is>
    </oc>
    <nc r="G325" t="inlineStr">
      <is>
        <t>FRAN</t>
      </is>
    </nc>
  </rcc>
  <rcc rId="4456" sId="1">
    <oc r="G331" t="inlineStr">
      <is>
        <t>CARL</t>
      </is>
    </oc>
    <nc r="G331" t="inlineStr">
      <is>
        <t>FRAN</t>
      </is>
    </nc>
  </rcc>
  <rcc rId="4457" sId="1">
    <oc r="G357" t="inlineStr">
      <is>
        <t>CARL</t>
      </is>
    </oc>
    <nc r="G357" t="inlineStr">
      <is>
        <t>FRAN</t>
      </is>
    </nc>
  </rcc>
  <rcc rId="4458" sId="1">
    <oc r="G360" t="inlineStr">
      <is>
        <t>CARL</t>
      </is>
    </oc>
    <nc r="G360" t="inlineStr">
      <is>
        <t>FRAN</t>
      </is>
    </nc>
  </rcc>
  <rcc rId="4459" sId="1">
    <oc r="G363" t="inlineStr">
      <is>
        <t>CARL</t>
      </is>
    </oc>
    <nc r="G363" t="inlineStr">
      <is>
        <t>FRAN</t>
      </is>
    </nc>
  </rcc>
  <rcc rId="4460" sId="1">
    <oc r="G394" t="inlineStr">
      <is>
        <t>CARL</t>
      </is>
    </oc>
    <nc r="G394" t="inlineStr">
      <is>
        <t>FRAN</t>
      </is>
    </nc>
  </rcc>
  <rcc rId="4461" sId="1">
    <oc r="G401" t="inlineStr">
      <is>
        <t>CARL</t>
      </is>
    </oc>
    <nc r="G401" t="inlineStr">
      <is>
        <t>FRAN</t>
      </is>
    </nc>
  </rcc>
  <rcc rId="4462" sId="1">
    <nc r="G403" t="inlineStr">
      <is>
        <t>FRAN</t>
      </is>
    </nc>
  </rcc>
  <rcc rId="4463" sId="1">
    <oc r="G412" t="inlineStr">
      <is>
        <t>CARL</t>
      </is>
    </oc>
    <nc r="G412" t="inlineStr">
      <is>
        <t>FRAN</t>
      </is>
    </nc>
  </rcc>
  <rcc rId="4464" sId="1">
    <oc r="G414" t="inlineStr">
      <is>
        <t>CARL</t>
      </is>
    </oc>
    <nc r="G414" t="inlineStr">
      <is>
        <t>FRAN</t>
      </is>
    </nc>
  </rcc>
  <rcc rId="4465" sId="1">
    <oc r="G417" t="inlineStr">
      <is>
        <t>CARL</t>
      </is>
    </oc>
    <nc r="G417" t="inlineStr">
      <is>
        <t>FRAN</t>
      </is>
    </nc>
  </rcc>
  <rcc rId="4466" sId="1">
    <oc r="G421" t="inlineStr">
      <is>
        <t>CARL</t>
      </is>
    </oc>
    <nc r="G421" t="inlineStr">
      <is>
        <t>FRAN</t>
      </is>
    </nc>
  </rcc>
</revisions>
</file>

<file path=xl/revisions/revisionLog3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67" sId="1">
    <oc r="G3" t="inlineStr">
      <is>
        <t>CARL</t>
      </is>
    </oc>
    <nc r="G3" t="inlineStr">
      <is>
        <t>FRAN</t>
      </is>
    </nc>
  </rcc>
  <rcc rId="4468" sId="1">
    <oc r="G4" t="inlineStr">
      <is>
        <t>CARL</t>
      </is>
    </oc>
    <nc r="G4" t="inlineStr">
      <is>
        <t>FRAN</t>
      </is>
    </nc>
  </rcc>
  <rcc rId="4469" sId="1">
    <oc r="G6" t="inlineStr">
      <is>
        <t>CARL</t>
      </is>
    </oc>
    <nc r="G6" t="inlineStr">
      <is>
        <t>FRAN</t>
      </is>
    </nc>
  </rcc>
  <rcc rId="4470" sId="1">
    <oc r="G13" t="inlineStr">
      <is>
        <t>CARL</t>
      </is>
    </oc>
    <nc r="G13" t="inlineStr">
      <is>
        <t>FRAN</t>
      </is>
    </nc>
  </rcc>
  <rcc rId="4471" sId="1">
    <oc r="G16" t="inlineStr">
      <is>
        <t>CARL</t>
      </is>
    </oc>
    <nc r="G16" t="inlineStr">
      <is>
        <t>FRAN</t>
      </is>
    </nc>
  </rcc>
  <rcc rId="4472" sId="1">
    <oc r="G19" t="inlineStr">
      <is>
        <t>CARL</t>
      </is>
    </oc>
    <nc r="G19" t="inlineStr">
      <is>
        <t>FRAN</t>
      </is>
    </nc>
  </rcc>
  <rcc rId="4473" sId="1">
    <oc r="G22" t="inlineStr">
      <is>
        <t>CARL</t>
      </is>
    </oc>
    <nc r="G22" t="inlineStr">
      <is>
        <t>FRAN</t>
      </is>
    </nc>
  </rcc>
  <rcc rId="4474" sId="1">
    <oc r="G30" t="inlineStr">
      <is>
        <t>CARL</t>
      </is>
    </oc>
    <nc r="G30" t="inlineStr">
      <is>
        <t>FRAN</t>
      </is>
    </nc>
  </rcc>
  <rcc rId="4475" sId="1">
    <oc r="G31" t="inlineStr">
      <is>
        <t>CARL</t>
      </is>
    </oc>
    <nc r="G31" t="inlineStr">
      <is>
        <t>FRAN</t>
      </is>
    </nc>
  </rcc>
  <rcc rId="4476" sId="1">
    <oc r="G34" t="inlineStr">
      <is>
        <t>CARL</t>
      </is>
    </oc>
    <nc r="G34" t="inlineStr">
      <is>
        <t>FRAN</t>
      </is>
    </nc>
  </rcc>
  <rcc rId="4477" sId="1">
    <oc r="G44" t="inlineStr">
      <is>
        <t>CARL</t>
      </is>
    </oc>
    <nc r="G44" t="inlineStr">
      <is>
        <t>FRAN</t>
      </is>
    </nc>
  </rcc>
  <rcc rId="4478" sId="1">
    <oc r="G59" t="inlineStr">
      <is>
        <t>CARL</t>
      </is>
    </oc>
    <nc r="G59" t="inlineStr">
      <is>
        <t>FRAN</t>
      </is>
    </nc>
  </rcc>
  <rcc rId="4479" sId="1">
    <oc r="G63" t="inlineStr">
      <is>
        <t>CARL</t>
      </is>
    </oc>
    <nc r="G63" t="inlineStr">
      <is>
        <t>FRAN</t>
      </is>
    </nc>
  </rcc>
  <rcc rId="4480" sId="1">
    <oc r="G71" t="inlineStr">
      <is>
        <t>CARL</t>
      </is>
    </oc>
    <nc r="G71" t="inlineStr">
      <is>
        <t>FRAN</t>
      </is>
    </nc>
  </rcc>
  <rcc rId="4481" sId="1">
    <oc r="G73" t="inlineStr">
      <is>
        <t>CARL</t>
      </is>
    </oc>
    <nc r="G73" t="inlineStr">
      <is>
        <t>FRAN</t>
      </is>
    </nc>
  </rcc>
  <rcc rId="4482" sId="1">
    <oc r="G86" t="inlineStr">
      <is>
        <t>CARL</t>
      </is>
    </oc>
    <nc r="G86" t="inlineStr">
      <is>
        <t>FRAN</t>
      </is>
    </nc>
  </rcc>
  <rcc rId="4483" sId="1">
    <oc r="G89" t="inlineStr">
      <is>
        <t>CARL</t>
      </is>
    </oc>
    <nc r="G89" t="inlineStr">
      <is>
        <t>FRAN</t>
      </is>
    </nc>
  </rcc>
  <rcc rId="4484" sId="1">
    <oc r="G95" t="inlineStr">
      <is>
        <t>CARL</t>
      </is>
    </oc>
    <nc r="G95" t="inlineStr">
      <is>
        <t>FRAN</t>
      </is>
    </nc>
  </rcc>
  <rcc rId="4485" sId="1">
    <oc r="G96" t="inlineStr">
      <is>
        <t>CARL</t>
      </is>
    </oc>
    <nc r="G96" t="inlineStr">
      <is>
        <t>FRAN</t>
      </is>
    </nc>
  </rcc>
  <rcc rId="4486" sId="1">
    <oc r="G97" t="inlineStr">
      <is>
        <t>CARL</t>
      </is>
    </oc>
    <nc r="G97" t="inlineStr">
      <is>
        <t>FRAN</t>
      </is>
    </nc>
  </rcc>
  <rcc rId="4487" sId="1">
    <oc r="G98" t="inlineStr">
      <is>
        <t>CARL</t>
      </is>
    </oc>
    <nc r="G98" t="inlineStr">
      <is>
        <t>FRAN</t>
      </is>
    </nc>
  </rcc>
  <rcc rId="4488" sId="1">
    <oc r="G99" t="inlineStr">
      <is>
        <t>CARL</t>
      </is>
    </oc>
    <nc r="G99" t="inlineStr">
      <is>
        <t>FRAN</t>
      </is>
    </nc>
  </rcc>
  <rcc rId="4489" sId="1">
    <oc r="G110" t="inlineStr">
      <is>
        <t>CARL</t>
      </is>
    </oc>
    <nc r="G110" t="inlineStr">
      <is>
        <t>FRAN</t>
      </is>
    </nc>
  </rcc>
  <rcc rId="4490" sId="1">
    <oc r="G115" t="inlineStr">
      <is>
        <t>CARL</t>
      </is>
    </oc>
    <nc r="G115" t="inlineStr">
      <is>
        <t>FRAN</t>
      </is>
    </nc>
  </rcc>
  <rcc rId="4491" sId="1">
    <oc r="G125" t="inlineStr">
      <is>
        <t>CARL</t>
      </is>
    </oc>
    <nc r="G125" t="inlineStr">
      <is>
        <t>FRAN</t>
      </is>
    </nc>
  </rcc>
  <rcc rId="4492" sId="1">
    <oc r="G127" t="inlineStr">
      <is>
        <t>CARL</t>
      </is>
    </oc>
    <nc r="G127" t="inlineStr">
      <is>
        <t>FRAN</t>
      </is>
    </nc>
  </rcc>
  <rcc rId="4493" sId="1">
    <oc r="G129" t="inlineStr">
      <is>
        <t>CARL</t>
      </is>
    </oc>
    <nc r="G129" t="inlineStr">
      <is>
        <t>FRAN</t>
      </is>
    </nc>
  </rcc>
  <rcc rId="4494" sId="1">
    <oc r="G130" t="inlineStr">
      <is>
        <t>CARL</t>
      </is>
    </oc>
    <nc r="G130" t="inlineStr">
      <is>
        <t>FRAN</t>
      </is>
    </nc>
  </rcc>
  <rcc rId="4495" sId="1">
    <oc r="G131" t="inlineStr">
      <is>
        <t>CARL</t>
      </is>
    </oc>
    <nc r="G131" t="inlineStr">
      <is>
        <t>FRAN</t>
      </is>
    </nc>
  </rcc>
  <rcc rId="4496" sId="1">
    <oc r="G133" t="inlineStr">
      <is>
        <t>CARL</t>
      </is>
    </oc>
    <nc r="G133" t="inlineStr">
      <is>
        <t>FRAN</t>
      </is>
    </nc>
  </rcc>
  <rcc rId="4497" sId="1">
    <oc r="G134" t="inlineStr">
      <is>
        <t>CARL</t>
      </is>
    </oc>
    <nc r="G134" t="inlineStr">
      <is>
        <t>FRAN</t>
      </is>
    </nc>
  </rcc>
  <rcc rId="4498" sId="1">
    <oc r="G135" t="inlineStr">
      <is>
        <t>CARL</t>
      </is>
    </oc>
    <nc r="G135" t="inlineStr">
      <is>
        <t>FRAN</t>
      </is>
    </nc>
  </rcc>
  <rcc rId="4499" sId="1">
    <oc r="G136" t="inlineStr">
      <is>
        <t>CARL</t>
      </is>
    </oc>
    <nc r="G136" t="inlineStr">
      <is>
        <t>FRAN</t>
      </is>
    </nc>
  </rcc>
  <rcc rId="4500" sId="1">
    <oc r="G138" t="inlineStr">
      <is>
        <t>CARL</t>
      </is>
    </oc>
    <nc r="G138" t="inlineStr">
      <is>
        <t>FRAN</t>
      </is>
    </nc>
  </rcc>
  <rcc rId="4501" sId="1">
    <oc r="G148" t="inlineStr">
      <is>
        <t>CARL</t>
      </is>
    </oc>
    <nc r="G148" t="inlineStr">
      <is>
        <t>FRAN</t>
      </is>
    </nc>
  </rcc>
  <rcc rId="4502" sId="1">
    <oc r="G149" t="inlineStr">
      <is>
        <t>CARL</t>
      </is>
    </oc>
    <nc r="G149" t="inlineStr">
      <is>
        <t>FRAN</t>
      </is>
    </nc>
  </rcc>
  <rcc rId="4503" sId="1">
    <oc r="G163" t="inlineStr">
      <is>
        <t>CARL</t>
      </is>
    </oc>
    <nc r="G163" t="inlineStr">
      <is>
        <t>FRAN</t>
      </is>
    </nc>
  </rcc>
  <rcc rId="4504" sId="1">
    <oc r="G165" t="inlineStr">
      <is>
        <t>CARL</t>
      </is>
    </oc>
    <nc r="G165" t="inlineStr">
      <is>
        <t>FRAN</t>
      </is>
    </nc>
  </rcc>
  <rcc rId="4505" sId="1">
    <oc r="G182" t="inlineStr">
      <is>
        <t>CARL</t>
      </is>
    </oc>
    <nc r="G182" t="inlineStr">
      <is>
        <t>FRAN</t>
      </is>
    </nc>
  </rcc>
  <rcc rId="4506" sId="1">
    <oc r="G183" t="inlineStr">
      <is>
        <t>CARL</t>
      </is>
    </oc>
    <nc r="G183" t="inlineStr">
      <is>
        <t>FRAN</t>
      </is>
    </nc>
  </rcc>
  <rcc rId="4507" sId="1">
    <oc r="G192" t="inlineStr">
      <is>
        <t>CARL</t>
      </is>
    </oc>
    <nc r="G192" t="inlineStr">
      <is>
        <t>FRAN</t>
      </is>
    </nc>
  </rcc>
  <rcc rId="4508" sId="1">
    <oc r="G217" t="inlineStr">
      <is>
        <t>CARL</t>
      </is>
    </oc>
    <nc r="G217" t="inlineStr">
      <is>
        <t>FRAN</t>
      </is>
    </nc>
  </rcc>
  <rcc rId="4509" sId="1">
    <oc r="G222" t="inlineStr">
      <is>
        <t>CARL</t>
      </is>
    </oc>
    <nc r="G222" t="inlineStr">
      <is>
        <t>FRAN</t>
      </is>
    </nc>
  </rcc>
  <rcc rId="4510" sId="1">
    <oc r="G225" t="inlineStr">
      <is>
        <t>CARL</t>
      </is>
    </oc>
    <nc r="G225" t="inlineStr">
      <is>
        <t>FRAN</t>
      </is>
    </nc>
  </rcc>
  <rcc rId="4511" sId="1">
    <oc r="G232" t="inlineStr">
      <is>
        <t>CARL</t>
      </is>
    </oc>
    <nc r="G232" t="inlineStr">
      <is>
        <t>FRAN</t>
      </is>
    </nc>
  </rcc>
  <rcc rId="4512" sId="1">
    <oc r="G243" t="inlineStr">
      <is>
        <t>CARL</t>
      </is>
    </oc>
    <nc r="G243" t="inlineStr">
      <is>
        <t>FRAN</t>
      </is>
    </nc>
  </rcc>
  <rcc rId="4513" sId="1">
    <oc r="G244" t="inlineStr">
      <is>
        <t>CARL</t>
      </is>
    </oc>
    <nc r="G244" t="inlineStr">
      <is>
        <t>FRAN</t>
      </is>
    </nc>
  </rcc>
  <rcc rId="4514" sId="1">
    <oc r="G249" t="inlineStr">
      <is>
        <t>CARL</t>
      </is>
    </oc>
    <nc r="G249" t="inlineStr">
      <is>
        <t>FRAN</t>
      </is>
    </nc>
  </rcc>
  <rcc rId="4515" sId="1">
    <oc r="G250" t="inlineStr">
      <is>
        <t>CARL</t>
      </is>
    </oc>
    <nc r="G250" t="inlineStr">
      <is>
        <t>FRAN</t>
      </is>
    </nc>
  </rcc>
  <rcc rId="4516" sId="1">
    <oc r="G251" t="inlineStr">
      <is>
        <t>CARL</t>
      </is>
    </oc>
    <nc r="G251" t="inlineStr">
      <is>
        <t>FRAN</t>
      </is>
    </nc>
  </rcc>
  <rcc rId="4517" sId="1">
    <oc r="G257" t="inlineStr">
      <is>
        <t>CARL</t>
      </is>
    </oc>
    <nc r="G257" t="inlineStr">
      <is>
        <t>FRAN</t>
      </is>
    </nc>
  </rcc>
  <rcc rId="4518" sId="1">
    <oc r="G258" t="inlineStr">
      <is>
        <t>CARL</t>
      </is>
    </oc>
    <nc r="G258" t="inlineStr">
      <is>
        <t>FRAN</t>
      </is>
    </nc>
  </rcc>
  <rcc rId="4519" sId="1">
    <oc r="G261" t="inlineStr">
      <is>
        <t>CARL</t>
      </is>
    </oc>
    <nc r="G261" t="inlineStr">
      <is>
        <t>FRAN</t>
      </is>
    </nc>
  </rcc>
  <rcc rId="4520" sId="1">
    <oc r="G263" t="inlineStr">
      <is>
        <t>CARL</t>
      </is>
    </oc>
    <nc r="G263" t="inlineStr">
      <is>
        <t>FRAN</t>
      </is>
    </nc>
  </rcc>
  <rcc rId="4521" sId="1">
    <oc r="G265" t="inlineStr">
      <is>
        <t>CARL</t>
      </is>
    </oc>
    <nc r="G265" t="inlineStr">
      <is>
        <t>FRAN</t>
      </is>
    </nc>
  </rcc>
  <rcc rId="4522" sId="1">
    <oc r="G268" t="inlineStr">
      <is>
        <t>CARL</t>
      </is>
    </oc>
    <nc r="G268" t="inlineStr">
      <is>
        <t>FRAN</t>
      </is>
    </nc>
  </rcc>
  <rcc rId="4523" sId="1">
    <oc r="G269" t="inlineStr">
      <is>
        <t>CARL</t>
      </is>
    </oc>
    <nc r="G269" t="inlineStr">
      <is>
        <t>FRAN</t>
      </is>
    </nc>
  </rcc>
  <rcc rId="4524" sId="1">
    <oc r="G270" t="inlineStr">
      <is>
        <t>CARL</t>
      </is>
    </oc>
    <nc r="G270" t="inlineStr">
      <is>
        <t>FRAN</t>
      </is>
    </nc>
  </rcc>
  <rcc rId="4525" sId="1" odxf="1" dxf="1">
    <oc r="G272" t="inlineStr">
      <is>
        <t>CARL</t>
      </is>
    </oc>
    <nc r="G272" t="inlineStr">
      <is>
        <t>FRAN</t>
      </is>
    </nc>
    <odxf>
      <fill>
        <patternFill>
          <bgColor theme="7"/>
        </patternFill>
      </fill>
    </odxf>
    <ndxf>
      <fill>
        <patternFill>
          <bgColor rgb="FF00B050"/>
        </patternFill>
      </fill>
    </ndxf>
  </rcc>
  <rcc rId="4526" sId="1">
    <oc r="G279" t="inlineStr">
      <is>
        <t>CARL</t>
      </is>
    </oc>
    <nc r="G279" t="inlineStr">
      <is>
        <t>FRAN</t>
      </is>
    </nc>
  </rcc>
  <rcc rId="4527" sId="1">
    <oc r="G287" t="inlineStr">
      <is>
        <t>CARL</t>
      </is>
    </oc>
    <nc r="G287" t="inlineStr">
      <is>
        <t>FRAN</t>
      </is>
    </nc>
  </rcc>
  <rcc rId="4528" sId="1">
    <oc r="G292" t="inlineStr">
      <is>
        <t>CARL</t>
      </is>
    </oc>
    <nc r="G292" t="inlineStr">
      <is>
        <t>FRAN</t>
      </is>
    </nc>
  </rcc>
  <rcc rId="4529" sId="1">
    <oc r="G299" t="inlineStr">
      <is>
        <t>CARL</t>
      </is>
    </oc>
    <nc r="G299" t="inlineStr">
      <is>
        <t>FRAN</t>
      </is>
    </nc>
  </rcc>
  <rcc rId="4530" sId="1">
    <oc r="G308" t="inlineStr">
      <is>
        <t>CARL</t>
      </is>
    </oc>
    <nc r="G308" t="inlineStr">
      <is>
        <t>FRAN</t>
      </is>
    </nc>
  </rcc>
  <rcc rId="4531" sId="1">
    <oc r="G320" t="inlineStr">
      <is>
        <t>CARL</t>
      </is>
    </oc>
    <nc r="G320" t="inlineStr">
      <is>
        <t>FRAN</t>
      </is>
    </nc>
  </rcc>
  <rcc rId="4532" sId="1">
    <oc r="G327" t="inlineStr">
      <is>
        <t>CARL</t>
      </is>
    </oc>
    <nc r="G327" t="inlineStr">
      <is>
        <t>FRAN</t>
      </is>
    </nc>
  </rcc>
  <rcc rId="4533" sId="1">
    <oc r="G335" t="inlineStr">
      <is>
        <t>CARL</t>
      </is>
    </oc>
    <nc r="G335" t="inlineStr">
      <is>
        <t>FRAN</t>
      </is>
    </nc>
  </rcc>
  <rcc rId="4534" sId="1">
    <oc r="G342" t="inlineStr">
      <is>
        <t>CARL</t>
      </is>
    </oc>
    <nc r="G342" t="inlineStr">
      <is>
        <t>FRAN</t>
      </is>
    </nc>
  </rcc>
  <rcc rId="4535" sId="1">
    <oc r="G345" t="inlineStr">
      <is>
        <t>CARL</t>
      </is>
    </oc>
    <nc r="G345" t="inlineStr">
      <is>
        <t>FRAN</t>
      </is>
    </nc>
  </rcc>
  <rcc rId="4536" sId="1">
    <oc r="G346" t="inlineStr">
      <is>
        <t>CARL</t>
      </is>
    </oc>
    <nc r="G346" t="inlineStr">
      <is>
        <t>FRAN</t>
      </is>
    </nc>
  </rcc>
  <rcc rId="4537" sId="1">
    <oc r="G347" t="inlineStr">
      <is>
        <t>CARL</t>
      </is>
    </oc>
    <nc r="G347" t="inlineStr">
      <is>
        <t>FRAN</t>
      </is>
    </nc>
  </rcc>
  <rcc rId="4538" sId="1" odxf="1" dxf="1">
    <oc r="G349" t="inlineStr">
      <is>
        <t>FABI</t>
      </is>
    </oc>
    <nc r="G349" t="inlineStr">
      <is>
        <t>FRAN</t>
      </is>
    </nc>
    <odxf>
      <font>
        <b val="0"/>
        <sz val="9"/>
        <color auto="1"/>
        <name val="Arial"/>
        <scheme val="none"/>
      </font>
      <fill>
        <patternFill>
          <bgColor rgb="FF00B0F0"/>
        </patternFill>
      </fill>
    </odxf>
    <ndxf>
      <font>
        <b/>
        <sz val="9"/>
        <color auto="1"/>
        <name val="Arial"/>
        <scheme val="none"/>
      </font>
      <fill>
        <patternFill>
          <bgColor rgb="FF00B050"/>
        </patternFill>
      </fill>
    </ndxf>
  </rcc>
  <rcc rId="4539" sId="1">
    <oc r="G350" t="inlineStr">
      <is>
        <t>CARL</t>
      </is>
    </oc>
    <nc r="G350" t="inlineStr">
      <is>
        <t>FRAN</t>
      </is>
    </nc>
  </rcc>
  <rcc rId="4540" sId="1">
    <oc r="G352" t="inlineStr">
      <is>
        <t>CARL</t>
      </is>
    </oc>
    <nc r="G352" t="inlineStr">
      <is>
        <t>FRAN</t>
      </is>
    </nc>
  </rcc>
  <rcc rId="4541" sId="1">
    <oc r="G361" t="inlineStr">
      <is>
        <t>CARL</t>
      </is>
    </oc>
    <nc r="G361" t="inlineStr">
      <is>
        <t>FRAN</t>
      </is>
    </nc>
  </rcc>
  <rcc rId="4542" sId="1">
    <oc r="G372" t="inlineStr">
      <is>
        <t>CARL</t>
      </is>
    </oc>
    <nc r="G372" t="inlineStr">
      <is>
        <t>FRAN</t>
      </is>
    </nc>
  </rcc>
  <rcc rId="4543" sId="1">
    <oc r="G373" t="inlineStr">
      <is>
        <t>CARL</t>
      </is>
    </oc>
    <nc r="G373" t="inlineStr">
      <is>
        <t>FRAN</t>
      </is>
    </nc>
  </rcc>
  <rcc rId="4544" sId="1">
    <oc r="G375" t="inlineStr">
      <is>
        <t>CARL</t>
      </is>
    </oc>
    <nc r="G375" t="inlineStr">
      <is>
        <t>FRAN</t>
      </is>
    </nc>
  </rcc>
  <rcc rId="4545" sId="1">
    <oc r="G377" t="inlineStr">
      <is>
        <t>CARL</t>
      </is>
    </oc>
    <nc r="G377" t="inlineStr">
      <is>
        <t>FRAN</t>
      </is>
    </nc>
  </rcc>
  <rcc rId="4546" sId="1">
    <oc r="G378" t="inlineStr">
      <is>
        <t>CARL</t>
      </is>
    </oc>
    <nc r="G378" t="inlineStr">
      <is>
        <t>FRAN</t>
      </is>
    </nc>
  </rcc>
  <rcc rId="4547" sId="1">
    <oc r="G379" t="inlineStr">
      <is>
        <t>CARL</t>
      </is>
    </oc>
    <nc r="G379" t="inlineStr">
      <is>
        <t>FRAN</t>
      </is>
    </nc>
  </rcc>
  <rcc rId="4548" sId="1">
    <oc r="G382" t="inlineStr">
      <is>
        <t>CARL</t>
      </is>
    </oc>
    <nc r="G382" t="inlineStr">
      <is>
        <t>FRAN</t>
      </is>
    </nc>
  </rcc>
  <rcc rId="4549" sId="1">
    <oc r="G383" t="inlineStr">
      <is>
        <t>CARL</t>
      </is>
    </oc>
    <nc r="G383" t="inlineStr">
      <is>
        <t>FRAN</t>
      </is>
    </nc>
  </rcc>
  <rcc rId="4550" sId="1">
    <oc r="G385" t="inlineStr">
      <is>
        <t>CARL</t>
      </is>
    </oc>
    <nc r="G385" t="inlineStr">
      <is>
        <t>FRAN</t>
      </is>
    </nc>
  </rcc>
  <rcc rId="4551" sId="1">
    <oc r="G386" t="inlineStr">
      <is>
        <t>CARL</t>
      </is>
    </oc>
    <nc r="G386" t="inlineStr">
      <is>
        <t>FRAN</t>
      </is>
    </nc>
  </rcc>
  <rcc rId="4552" sId="1">
    <oc r="G390" t="inlineStr">
      <is>
        <t>CARL</t>
      </is>
    </oc>
    <nc r="G390" t="inlineStr">
      <is>
        <t>FRAN</t>
      </is>
    </nc>
  </rcc>
  <rcc rId="4553" sId="1" odxf="1" dxf="1">
    <oc r="G395" t="inlineStr">
      <is>
        <t>CARL</t>
      </is>
    </oc>
    <nc r="G395" t="inlineStr">
      <is>
        <t>FRAN</t>
      </is>
    </nc>
    <odxf>
      <fill>
        <patternFill>
          <bgColor theme="7"/>
        </patternFill>
      </fill>
    </odxf>
    <ndxf>
      <fill>
        <patternFill>
          <bgColor rgb="FF00B050"/>
        </patternFill>
      </fill>
    </ndxf>
  </rcc>
  <rcc rId="4554" sId="1">
    <oc r="G402" t="inlineStr">
      <is>
        <t>CARL</t>
      </is>
    </oc>
    <nc r="G402" t="inlineStr">
      <is>
        <t>FRAN</t>
      </is>
    </nc>
  </rcc>
  <rcc rId="4555" sId="1" odxf="1" dxf="1">
    <oc r="G408" t="inlineStr">
      <is>
        <t>CARL</t>
      </is>
    </oc>
    <nc r="G408" t="inlineStr">
      <is>
        <t>FRAN</t>
      </is>
    </nc>
    <odxf>
      <fill>
        <patternFill>
          <bgColor theme="7"/>
        </patternFill>
      </fill>
    </odxf>
    <ndxf>
      <fill>
        <patternFill>
          <bgColor rgb="FF00B050"/>
        </patternFill>
      </fill>
    </ndxf>
  </rcc>
  <rcc rId="4556" sId="1">
    <oc r="G409" t="inlineStr">
      <is>
        <t>CARL</t>
      </is>
    </oc>
    <nc r="G409" t="inlineStr">
      <is>
        <t>FRAN</t>
      </is>
    </nc>
  </rcc>
</revisions>
</file>

<file path=xl/revisions/revisionLog3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xfDxf="1" sqref="C305" start="0" length="0">
    <dxf>
      <font>
        <sz val="10"/>
        <color auto="1"/>
      </font>
      <alignment vertical="center" wrapText="1" readingOrder="0"/>
      <border outline="0">
        <left style="thin">
          <color indexed="64"/>
        </left>
        <right style="thin">
          <color indexed="64"/>
        </right>
        <top style="thin">
          <color indexed="64"/>
        </top>
        <bottom style="thin">
          <color indexed="64"/>
        </bottom>
      </border>
    </dxf>
  </rfmt>
  <rcc rId="4557" sId="2">
    <nc r="C305" t="inlineStr">
      <is>
        <t>ASTRANSP LOGIN: 59899913715 SENHA: 123456 / 4 vt de seg a sexta</t>
      </is>
    </nc>
  </rcc>
</revisions>
</file>

<file path=xl/revisions/revisionLog3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58" sId="1">
    <oc r="M282" t="inlineStr">
      <is>
        <r>
          <t xml:space="preserve">Recibo e-social (   )                                                                                                             Guia e-social (   )                                                                                                                            FOLHA DE PONTO (  )                                                                                            3VT DE SEG A SEXTA (  )   Login 01379922623 senha 12345                                                                                      </t>
        </r>
        <r>
          <rPr>
            <b/>
            <sz val="9"/>
            <color rgb="FFFF0000"/>
            <rFont val="Arial"/>
            <family val="2"/>
          </rPr>
          <t>Fechar em R$1300,00 liquido  - BILHETE UNICO - TEM PARTICULARIDADES</t>
        </r>
      </is>
    </oc>
    <nc r="M282" t="inlineStr">
      <is>
        <r>
          <t xml:space="preserve">Recibo e-social (   )                                                                                                             Guia e-social (   )                                                                                                                            FOLHA DE PONTO (  )                                                                                            3VT DE SEG A SEXTA (  )   Login 01379922623 senha 12345                                                                                      </t>
        </r>
        <r>
          <rPr>
            <b/>
            <sz val="9"/>
            <color rgb="FFFF0000"/>
            <rFont val="Arial"/>
            <family val="2"/>
          </rPr>
          <t>Fechar em R$1400,00 liquido  - BILHETE UNICO - TEM PARTICULARIDADES</t>
        </r>
      </is>
    </nc>
  </rcc>
</revisions>
</file>

<file path=xl/revisions/revisionLog3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59" sId="1">
    <oc r="M282" t="inlineStr">
      <is>
        <r>
          <t xml:space="preserve">Recibo e-social (   )                                                                                                             Guia e-social (   )                                                                                                                            FOLHA DE PONTO (  )                                                                                            3VT DE SEG A SEXTA (  )   Login 01379922623 senha 12345                                                                                      </t>
        </r>
        <r>
          <rPr>
            <b/>
            <sz val="9"/>
            <color rgb="FFFF0000"/>
            <rFont val="Arial"/>
            <family val="2"/>
          </rPr>
          <t>Fechar em R$1400,00 liquido  - BILHETE UNICO - TEM PARTICULARIDADES</t>
        </r>
      </is>
    </oc>
    <nc r="M282" t="inlineStr">
      <is>
        <r>
          <t xml:space="preserve">Recibo e-social (   )                                                                                                             Guia e-social (   )                                                                                                                            FOLHA DE PONTO (  )                                                                                            3VT DE SEG A SEXTA (  )   Login 01379922623 senha 12345                                                                                      </t>
        </r>
        <r>
          <rPr>
            <b/>
            <sz val="9"/>
            <color rgb="FFFF0000"/>
            <rFont val="Arial"/>
            <family val="2"/>
          </rPr>
          <t>Fechar em R$1400,00 liquido  - BILHETE UNICO - TEM PARTICULARIDADES - NÃO GERAR VT DURANTE A PANDEMIA</t>
        </r>
      </is>
    </nc>
  </rcc>
</revisions>
</file>

<file path=xl/revisions/revisionLog3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60" sId="1" xfDxf="1" dxf="1">
    <oc r="B325" t="inlineStr">
      <is>
        <t>CRISTIANNE DE MEDEIROS NOGUEIRA</t>
      </is>
    </oc>
    <nc r="B325" t="inlineStr">
      <is>
        <t>CRISTIANE DE MEDEIROS NOGUEIRA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evisions>
</file>

<file path=xl/revisions/revisionLog3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61" sId="1">
    <oc r="I357">
      <v>1</v>
    </oc>
    <nc r="I357">
      <v>2</v>
    </nc>
  </rcc>
</revisions>
</file>

<file path=xl/revisions/revisionLog3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B414"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4562" sId="2" xfDxf="1" dxf="1">
    <oc r="B545" t="inlineStr">
      <is>
        <t>LUCIA DE ARAUJO</t>
      </is>
    </oc>
    <nc r="B545" t="inlineStr">
      <is>
        <t>LUCIA DE ARAUJO PIUMA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cc rId="4563" sId="2" xfDxf="1" dxf="1">
    <oc r="B546" t="inlineStr">
      <is>
        <t>LUCIA DE ARAUJO</t>
      </is>
    </oc>
    <nc r="B546" t="inlineStr">
      <is>
        <t>LUCIA DE ARAUJO PIUMA</t>
      </is>
    </nc>
    <ndxf>
      <font>
        <sz val="10"/>
        <color auto="1"/>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3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2" start="0" length="0">
    <dxf>
      <font>
        <sz val="9"/>
        <color auto="1"/>
        <name val="Arial"/>
        <scheme val="none"/>
      </font>
    </dxf>
  </rfmt>
  <rrc rId="4564" sId="2" ref="A539:XFD539" action="insertRow">
    <undo index="2" exp="area" ref3D="1" dr="B$1:B$1048576" r="C423" sId="1"/>
    <undo index="2" exp="area" ref3D="1" dr="B$1:B$1048576" r="C422" sId="1"/>
    <undo index="2" exp="area" ref3D="1" dr="B$1:B$1048576" r="C421" sId="1"/>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1"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m rId="4565" sheetId="2" source="A540:XFD540" destination="A539:XFD539" sourceSheetId="2">
    <rfmt sheetId="2" xfDxf="1" sqref="A539:XFD539" start="0" length="0">
      <dxf>
        <font>
          <sz val="10"/>
        </font>
      </dxf>
    </rfmt>
    <rfmt sheetId="2" sqref="A539" start="0" length="0">
      <dxf>
        <font>
          <sz val="10"/>
          <color auto="1"/>
        </font>
        <fill>
          <patternFill patternType="solid">
            <bgColor theme="0"/>
          </patternFill>
        </fill>
        <alignment horizontal="center" vertical="top" wrapText="1" readingOrder="0"/>
        <border outline="0">
          <left style="thin">
            <color indexed="64"/>
          </left>
          <right style="thin">
            <color indexed="64"/>
          </right>
          <top style="thin">
            <color indexed="64"/>
          </top>
          <bottom style="thin">
            <color indexed="64"/>
          </bottom>
        </border>
      </dxf>
    </rfmt>
    <rfmt sheetId="2" sqref="B539" start="0" length="0">
      <dxf>
        <font>
          <sz val="10"/>
          <color rgb="FF263238"/>
        </font>
        <alignment horizontal="left" vertical="center" readingOrder="0"/>
        <border outline="0">
          <left style="thin">
            <color indexed="64"/>
          </left>
          <right style="thin">
            <color indexed="64"/>
          </right>
          <top style="thin">
            <color indexed="64"/>
          </top>
          <bottom style="thin">
            <color indexed="64"/>
          </bottom>
        </border>
      </dxf>
    </rfmt>
    <rfmt sheetId="2" sqref="C539" start="0" length="0">
      <dxf>
        <font>
          <sz val="10"/>
          <color auto="1"/>
        </font>
        <alignment horizontal="left" vertical="center" wrapText="1" readingOrder="0"/>
        <border outline="0">
          <left style="thin">
            <color indexed="64"/>
          </left>
          <right style="thin">
            <color indexed="64"/>
          </right>
          <top style="thin">
            <color indexed="64"/>
          </top>
          <bottom style="thin">
            <color indexed="64"/>
          </bottom>
        </border>
      </dxf>
    </rfmt>
  </rm>
  <rcc rId="4566" sId="2">
    <nc r="A540">
      <v>910</v>
    </nc>
  </rcc>
  <rfmt sheetId="2" sqref="A540">
    <dxf>
      <alignment horizontal="center" readingOrder="0"/>
    </dxf>
  </rfmt>
  <rfmt sheetId="2" sqref="A540">
    <dxf>
      <alignment vertical="center" readingOrder="0"/>
    </dxf>
  </rfmt>
  <rcc rId="4567" sId="2" xfDxf="1" dxf="1">
    <nc r="B540" t="inlineStr">
      <is>
        <t>FABRICIO REBELLO LIGNANI SIQUEIRA</t>
      </is>
    </nc>
    <ndxf>
      <font>
        <sz val="10"/>
      </font>
    </ndxf>
  </rcc>
  <rfmt sheetId="1" xfDxf="1" sqref="B412" start="0" length="0">
    <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Empresas'!$A$1:$N$423</formula>
    <oldFormula>'Controle Empresas'!$A$1:$N$423</oldFormula>
  </rdn>
  <rcv guid="{590CEBDA-E7AE-4D8D-8613-56208662CCA9}" action="add"/>
</revisions>
</file>

<file path=xl/revisions/revisionLog3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70" sId="1" xfDxf="1" dxf="1">
    <oc r="B403" t="inlineStr">
      <is>
        <t>DIOGO ALCANTARA (ESPAÇO DO CORPO)</t>
      </is>
    </oc>
    <nc r="B403" t="inlineStr">
      <is>
        <t>DIOGO ALCANTARA SANTOS</t>
      </is>
    </nc>
    <ndxf>
      <font>
        <sz val="9"/>
        <color rgb="FF263238"/>
        <name val="Arial"/>
        <scheme val="none"/>
      </font>
      <alignment horizontal="center" vertical="center" readingOrder="0"/>
      <border outline="0">
        <left style="thin">
          <color indexed="64"/>
        </left>
        <right style="thin">
          <color indexed="64"/>
        </right>
        <top style="thin">
          <color indexed="64"/>
        </top>
        <bottom style="thin">
          <color indexed="64"/>
        </bottom>
      </border>
    </ndxf>
  </rcc>
  <rrc rId="4571" sId="2" ref="A541:XFD541" action="insertRow">
    <undo index="2" exp="area" ref3D="1" dr="B$1:B$1048576" r="C423" sId="1"/>
    <undo index="2" exp="area" ref3D="1" dr="B$1:B$1048576" r="C422" sId="1"/>
    <undo index="2" exp="area" ref3D="1" dr="B$1:B$1048576" r="C421" sId="1"/>
    <undo index="2" exp="area" ref3D="1" dr="B$1:B$1048576" r="C420" sId="1"/>
    <undo index="2" exp="area" ref3D="1" dr="B$1:B$1048576" r="C419" sId="1"/>
    <undo index="2" exp="area" ref3D="1" dr="B$1:B$1048576" r="C418" sId="1"/>
    <undo index="2" exp="area" ref3D="1" dr="B$1:B$1048576" r="C417" sId="1"/>
    <undo index="2" exp="area" ref3D="1" dr="B$1:B$1048576" r="C416" sId="1"/>
    <undo index="2" exp="area" ref3D="1" dr="B$1:B$1048576" r="C415" sId="1"/>
    <undo index="2" exp="area" ref3D="1" dr="B$1:B$1048576" r="C414" sId="1"/>
    <undo index="2" exp="area" ref3D="1" dr="B$1:B$1048576" r="C408" sId="1"/>
    <undo index="2" exp="area" ref3D="1" dr="B$1:B$1048576" r="C407" sId="1"/>
    <undo index="2" exp="area" ref3D="1" dr="B$1:B$1048576" r="C406" sId="1"/>
    <undo index="2" exp="area" ref3D="1" dr="B$1:B$1048576" r="C405" sId="1"/>
    <undo index="2" exp="area" ref3D="1" dr="B$1:B$1048576" r="C404" sId="1"/>
    <undo index="2" exp="area" ref3D="1" dr="B$1:B$1048576" r="C401" sId="1"/>
    <undo index="2" exp="area" ref3D="1" dr="B$1:B$1048576" r="C397" sId="1"/>
    <undo index="2" exp="area" ref3D="1" dr="B$1:B$1048576" r="C396" sId="1"/>
    <undo index="2" exp="area" ref3D="1" dr="B$1:B$1048576" r="C395" sId="1"/>
    <undo index="2" exp="area" ref3D="1" dr="B$1:B$1048576" r="C394" sId="1"/>
    <undo index="2" exp="area" ref3D="1" dr="B$1:B$1048576" r="C393" sId="1"/>
    <undo index="2" exp="area" ref3D="1" dr="B$1:B$1048576" r="C392" sId="1"/>
    <undo index="2" exp="area" ref3D="1" dr="B$1:B$1048576" r="C391" sId="1"/>
    <undo index="2" exp="area" ref3D="1" dr="B$1:B$1048576" r="C390" sId="1"/>
    <undo index="2" exp="area" ref3D="1" dr="B$1:B$1048576" r="C389" sId="1"/>
    <undo index="2" exp="area" ref3D="1" dr="B$1:B$1048576" r="C388" sId="1"/>
    <undo index="2" exp="area" ref3D="1" dr="B$1:B$1048576" r="C387" sId="1"/>
    <undo index="2" exp="area" ref3D="1" dr="B$1:B$1048576" r="C386" sId="1"/>
    <undo index="2" exp="area" ref3D="1" dr="B$1:B$1048576" r="C385" sId="1"/>
    <undo index="2" exp="area" ref3D="1" dr="B$1:B$1048576" r="C384" sId="1"/>
    <undo index="2" exp="area" ref3D="1" dr="B$1:B$1048576" r="C383" sId="1"/>
    <undo index="2" exp="area" ref3D="1" dr="B$1:B$1048576" r="C382" sId="1"/>
    <undo index="2" exp="area" ref3D="1" dr="B$1:B$1048576" r="C381" sId="1"/>
    <undo index="2" exp="area" ref3D="1" dr="B$1:B$1048576" r="C380" sId="1"/>
    <undo index="2" exp="area" ref3D="1" dr="B$1:B$1048576" r="C379" sId="1"/>
    <undo index="2" exp="area" ref3D="1" dr="B$1:B$1048576" r="C378" sId="1"/>
    <undo index="2" exp="area" ref3D="1" dr="B$1:B$1048576" r="C377" sId="1"/>
    <undo index="2" exp="area" ref3D="1" dr="B$1:B$1048576" r="C376" sId="1"/>
    <undo index="2" exp="area" ref3D="1" dr="B$1:B$1048576" r="C375" sId="1"/>
    <undo index="2" exp="area" ref3D="1" dr="B$1:B$1048576" r="C374" sId="1"/>
    <undo index="2" exp="area" ref3D="1" dr="B$1:B$1048576" r="C373" sId="1"/>
    <undo index="2" exp="area" ref3D="1" dr="B$1:B$1048576" r="C372" sId="1"/>
    <undo index="2" exp="area" ref3D="1" dr="B$1:B$1048576" r="C371" sId="1"/>
    <undo index="2" exp="area" ref3D="1" dr="B$1:B$1048576" r="C370" sId="1"/>
    <undo index="2" exp="area" ref3D="1" dr="B$1:B$1048576" r="C369" sId="1"/>
    <undo index="2" exp="area" ref3D="1" dr="B$1:B$1048576" r="C368" sId="1"/>
    <undo index="2" exp="area" ref3D="1" dr="B$1:B$1048576" r="C367" sId="1"/>
    <undo index="2" exp="area" ref3D="1" dr="B$1:B$1048576" r="C366" sId="1"/>
    <undo index="2" exp="area" ref3D="1" dr="B$1:B$1048576" r="C365" sId="1"/>
    <undo index="2" exp="area" ref3D="1" dr="B$1:B$1048576" r="C364" sId="1"/>
    <undo index="2" exp="area" ref3D="1" dr="B$1:B$1048576" r="C363" sId="1"/>
    <undo index="2" exp="area" ref3D="1" dr="B$1:B$1048576" r="C362" sId="1"/>
    <undo index="2" exp="area" ref3D="1" dr="B$1:B$1048576" r="C361" sId="1"/>
    <undo index="2" exp="area" ref3D="1" dr="B$1:B$1048576" r="C360" sId="1"/>
    <undo index="2" exp="area" ref3D="1" dr="B$1:B$1048576" r="C359" sId="1"/>
    <undo index="2" exp="area" ref3D="1" dr="B$1:B$1048576" r="C358" sId="1"/>
    <undo index="2" exp="area" ref3D="1" dr="B$1:B$1048576" r="C357" sId="1"/>
    <undo index="2" exp="area" ref3D="1" dr="B$1:B$1048576" r="C356" sId="1"/>
    <undo index="2" exp="area" ref3D="1" dr="B$1:B$1048576" r="C355" sId="1"/>
    <undo index="2" exp="area" ref3D="1" dr="B$1:B$1048576" r="C354" sId="1"/>
    <undo index="2" exp="area" ref3D="1" dr="B$1:B$1048576" r="C353" sId="1"/>
    <undo index="2" exp="area" ref3D="1" dr="B$1:B$1048576" r="C352" sId="1"/>
    <undo index="2" exp="area" ref3D="1" dr="B$1:B$1048576" r="C351" sId="1"/>
    <undo index="2" exp="area" ref3D="1" dr="B$1:B$1048576" r="C350" sId="1"/>
    <undo index="2" exp="area" ref3D="1" dr="B$1:B$1048576" r="C349" sId="1"/>
    <undo index="2" exp="area" ref3D="1" dr="B$1:B$1048576" r="C348" sId="1"/>
    <undo index="2" exp="area" ref3D="1" dr="B$1:B$1048576" r="C347" sId="1"/>
    <undo index="2" exp="area" ref3D="1" dr="B$1:B$1048576" r="C346" sId="1"/>
    <undo index="2" exp="area" ref3D="1" dr="B$1:B$1048576" r="C345" sId="1"/>
    <undo index="2" exp="area" ref3D="1" dr="B$1:B$1048576" r="C344" sId="1"/>
    <undo index="2" exp="area" ref3D="1" dr="B$1:B$1048576" r="C343" sId="1"/>
    <undo index="2" exp="area" ref3D="1" dr="B$1:B$1048576" r="C342" sId="1"/>
    <undo index="2" exp="area" ref3D="1" dr="B$1:B$1048576" r="C341" sId="1"/>
    <undo index="2" exp="area" ref3D="1" dr="B$1:B$1048576" r="C340" sId="1"/>
    <undo index="2" exp="area" ref3D="1" dr="B$1:B$1048576" r="C339" sId="1"/>
    <undo index="2" exp="area" ref3D="1" dr="B$1:B$1048576" r="C338" sId="1"/>
    <undo index="2" exp="area" ref3D="1" dr="B$1:B$1048576" r="C337" sId="1"/>
    <undo index="2" exp="area" ref3D="1" dr="B$1:B$1048576" r="C336" sId="1"/>
    <undo index="2" exp="area" ref3D="1" dr="B$1:B$1048576" r="C335" sId="1"/>
    <undo index="2" exp="area" ref3D="1" dr="B$1:B$1048576" r="C334" sId="1"/>
    <undo index="2" exp="area" ref3D="1" dr="B$1:B$1048576" r="C333" sId="1"/>
    <undo index="2" exp="area" ref3D="1" dr="B$1:B$1048576" r="C332" sId="1"/>
    <undo index="2" exp="area" ref3D="1" dr="B$1:B$1048576" r="C331" sId="1"/>
    <undo index="2" exp="area" ref3D="1" dr="B$1:B$1048576" r="C330" sId="1"/>
    <undo index="2" exp="area" ref3D="1" dr="B$1:B$1048576" r="C329" sId="1"/>
    <undo index="2" exp="area" ref3D="1" dr="B$1:B$1048576" r="C328" sId="1"/>
    <undo index="2" exp="area" ref3D="1" dr="B$1:B$1048576" r="C327" sId="1"/>
    <undo index="2" exp="area" ref3D="1" dr="B$1:B$1048576" r="C326" sId="1"/>
    <undo index="2" exp="area" ref3D="1" dr="B$1:B$1048576" r="C325" sId="1"/>
    <undo index="2" exp="area" ref3D="1" dr="B$1:B$1048576" r="C324" sId="1"/>
    <undo index="2" exp="area" ref3D="1" dr="B$1:B$1048576" r="C323" sId="1"/>
    <undo index="2" exp="area" ref3D="1" dr="B$1:B$1048576" r="C322" sId="1"/>
    <undo index="2" exp="area" ref3D="1" dr="B$1:B$1048576" r="C321" sId="1"/>
    <undo index="2" exp="area" ref3D="1" dr="B$1:B$1048576" r="C320" sId="1"/>
    <undo index="2" exp="area" ref3D="1" dr="B$1:B$1048576" r="C319" sId="1"/>
    <undo index="2" exp="area" ref3D="1" dr="B$1:B$1048576" r="C318" sId="1"/>
    <undo index="2" exp="area" ref3D="1" dr="B$1:B$1048576" r="C317" sId="1"/>
    <undo index="2" exp="area" ref3D="1" dr="B$1:B$1048576" r="C316" sId="1"/>
    <undo index="2" exp="area" ref3D="1" dr="B$1:B$1048576" r="C315" sId="1"/>
    <undo index="2" exp="area" ref3D="1" dr="B$1:B$1048576" r="C314" sId="1"/>
    <undo index="2" exp="area" ref3D="1" dr="B$1:B$1048576" r="C313" sId="1"/>
    <undo index="2" exp="area" ref3D="1" dr="B$1:B$1048576" r="C312" sId="1"/>
    <undo index="2" exp="area" ref3D="1" dr="B$1:B$1048576" r="C311" sId="1"/>
    <undo index="2" exp="area" ref3D="1" dr="B$1:B$1048576" r="C310" sId="1"/>
    <undo index="2" exp="area" ref3D="1" dr="B$1:B$1048576" r="C309" sId="1"/>
    <undo index="2" exp="area" ref3D="1" dr="B$1:B$1048576" r="C308" sId="1"/>
    <undo index="2" exp="area" ref3D="1" dr="B$1:B$1048576" r="C307" sId="1"/>
    <undo index="2" exp="area" ref3D="1" dr="B$1:B$1048576" r="C306" sId="1"/>
    <undo index="2" exp="area" ref3D="1" dr="B$1:B$1048576" r="C305" sId="1"/>
    <undo index="2" exp="area" ref3D="1" dr="B$1:B$1048576" r="C304" sId="1"/>
    <undo index="2" exp="area" ref3D="1" dr="B$1:B$1048576" r="C303" sId="1"/>
    <undo index="2" exp="area" ref3D="1" dr="B$1:B$1048576" r="C302" sId="1"/>
    <undo index="2" exp="area" ref3D="1" dr="B$1:B$1048576" r="C301" sId="1"/>
    <undo index="2" exp="area" ref3D="1" dr="B$1:B$1048576" r="C300" sId="1"/>
    <undo index="2" exp="area" ref3D="1" dr="B$1:B$1048576" r="C299" sId="1"/>
    <undo index="2" exp="area" ref3D="1" dr="B$1:B$1048576" r="C298" sId="1"/>
    <undo index="2" exp="area" ref3D="1" dr="B$1:B$1048576" r="C297" sId="1"/>
    <undo index="2" exp="area" ref3D="1" dr="B$1:B$1048576" r="C296" sId="1"/>
    <undo index="2" exp="area" ref3D="1" dr="B$1:B$1048576" r="C295" sId="1"/>
    <undo index="2" exp="area" ref3D="1" dr="B$1:B$1048576" r="C294" sId="1"/>
    <undo index="2" exp="area" ref3D="1" dr="B$1:B$1048576" r="C293" sId="1"/>
    <undo index="2" exp="area" ref3D="1" dr="B$1:B$1048576" r="C292" sId="1"/>
    <undo index="2" exp="area" ref3D="1" dr="B$1:B$1048576" r="C291" sId="1"/>
    <undo index="2" exp="area" ref3D="1" dr="B$1:B$1048576" r="C290" sId="1"/>
    <undo index="2" exp="area" ref3D="1" dr="B$1:B$1048576" r="C289" sId="1"/>
    <undo index="2" exp="area" ref3D="1" dr="B$1:B$1048576" r="C288" sId="1"/>
    <undo index="2" exp="area" ref3D="1" dr="B$1:B$1048576" r="C287" sId="1"/>
    <undo index="2" exp="area" ref3D="1" dr="B$1:B$1048576" r="C286" sId="1"/>
    <undo index="2" exp="area" ref3D="1" dr="B$1:B$1048576" r="C285" sId="1"/>
    <undo index="2" exp="area" ref3D="1" dr="B$1:B$1048576" r="C284" sId="1"/>
    <undo index="2" exp="area" ref3D="1" dr="B$1:B$1048576" r="C283" sId="1"/>
    <undo index="2" exp="area" ref3D="1" dr="B$1:B$1048576" r="C282" sId="1"/>
    <undo index="2" exp="area" ref3D="1" dr="B$1:B$1048576" r="C281" sId="1"/>
    <undo index="2" exp="area" ref3D="1" dr="B$1:B$1048576" r="C280" sId="1"/>
    <undo index="2" exp="area" ref3D="1" dr="B$1:B$1048576" r="C279" sId="1"/>
    <undo index="2" exp="area" ref3D="1" dr="B$1:B$1048576" r="C278" sId="1"/>
    <undo index="2" exp="area" ref3D="1" dr="B$1:B$1048576" r="C277" sId="1"/>
    <undo index="2" exp="area" ref3D="1" dr="B$1:B$1048576" r="C276" sId="1"/>
    <undo index="2" exp="area" ref3D="1" dr="B$1:B$1048576" r="C275" sId="1"/>
    <undo index="2" exp="area" ref3D="1" dr="B$1:B$1048576" r="C274" sId="1"/>
    <undo index="2" exp="area" ref3D="1" dr="B$1:B$1048576" r="C273" sId="1"/>
    <undo index="2" exp="area" ref3D="1" dr="B$1:B$1048576" r="C272" sId="1"/>
    <undo index="2" exp="area" ref3D="1" dr="B$1:B$1048576" r="C271" sId="1"/>
    <undo index="2" exp="area" ref3D="1" dr="B$1:B$1048576" r="C270" sId="1"/>
    <undo index="2" exp="area" ref3D="1" dr="B$1:B$1048576" r="C269" sId="1"/>
    <undo index="2" exp="area" ref3D="1" dr="B$1:B$1048576" r="C268" sId="1"/>
    <undo index="2" exp="area" ref3D="1" dr="B$1:B$1048576" r="C267" sId="1"/>
    <undo index="2" exp="area" ref3D="1" dr="B$1:B$1048576" r="C266" sId="1"/>
    <undo index="2" exp="area" ref3D="1" dr="B$1:B$1048576" r="C265" sId="1"/>
    <undo index="2" exp="area" ref3D="1" dr="B$1:B$1048576" r="C264" sId="1"/>
    <undo index="2" exp="area" ref3D="1" dr="B$1:B$1048576" r="C263" sId="1"/>
    <undo index="2" exp="area" ref3D="1" dr="B$1:B$1048576" r="C262" sId="1"/>
    <undo index="2" exp="area" ref3D="1" dr="B$1:B$1048576" r="C261" sId="1"/>
    <undo index="2" exp="area" ref3D="1" dr="B$1:B$1048576" r="C260" sId="1"/>
    <undo index="2" exp="area" ref3D="1" dr="B$1:B$1048576" r="C259" sId="1"/>
    <undo index="2" exp="area" ref3D="1" dr="B$1:B$1048576" r="C258" sId="1"/>
    <undo index="2" exp="area" ref3D="1" dr="B$1:B$1048576" r="C257" sId="1"/>
    <undo index="2" exp="area" ref3D="1" dr="B$1:B$1048576" r="C256" sId="1"/>
    <undo index="2" exp="area" ref3D="1" dr="B$1:B$1048576" r="C255" sId="1"/>
    <undo index="2" exp="area" ref3D="1" dr="B$1:B$1048576" r="C254" sId="1"/>
    <undo index="2" exp="area" ref3D="1" dr="B$1:B$1048576" r="C253" sId="1"/>
    <undo index="2" exp="area" ref3D="1" dr="B$1:B$1048576" r="C252" sId="1"/>
    <undo index="2" exp="area" ref3D="1" dr="B$1:B$1048576" r="C251" sId="1"/>
    <undo index="2" exp="area" ref3D="1" dr="B$1:B$1048576" r="C250" sId="1"/>
    <undo index="2" exp="area" ref3D="1" dr="B$1:B$1048576" r="C249" sId="1"/>
    <undo index="2" exp="area" ref3D="1" dr="B$1:B$1048576" r="C248" sId="1"/>
    <undo index="2" exp="area" ref3D="1" dr="B$1:B$1048576" r="C247" sId="1"/>
    <undo index="2" exp="area" ref3D="1" dr="B$1:B$1048576" r="C246" sId="1"/>
    <undo index="2" exp="area" ref3D="1" dr="B$1:B$1048576" r="C245" sId="1"/>
    <undo index="2" exp="area" ref3D="1" dr="B$1:B$1048576" r="C244" sId="1"/>
    <undo index="2" exp="area" ref3D="1" dr="B$1:B$1048576" r="C243" sId="1"/>
    <undo index="2" exp="area" ref3D="1" dr="B$1:B$1048576" r="C242" sId="1"/>
    <undo index="2" exp="area" ref3D="1" dr="B$1:B$1048576" r="C241" sId="1"/>
    <undo index="2" exp="area" ref3D="1" dr="B$1:B$1048576" r="C240" sId="1"/>
    <undo index="2" exp="area" ref3D="1" dr="B$1:B$1048576" r="C239" sId="1"/>
    <undo index="2" exp="area" ref3D="1" dr="B$1:B$1048576" r="C238" sId="1"/>
    <undo index="2" exp="area" ref3D="1" dr="B$1:B$1048576" r="C237" sId="1"/>
    <undo index="2" exp="area" ref3D="1" dr="B$1:B$1048576" r="C236" sId="1"/>
    <undo index="2" exp="area" ref3D="1" dr="B$1:B$1048576" r="C235" sId="1"/>
    <undo index="2" exp="area" ref3D="1" dr="B$1:B$1048576" r="C234" sId="1"/>
    <undo index="2" exp="area" ref3D="1" dr="B$1:B$1048576" r="C233" sId="1"/>
    <undo index="2" exp="area" ref3D="1" dr="B$1:B$1048576" r="C232" sId="1"/>
    <undo index="2" exp="area" ref3D="1" dr="B$1:B$1048576" r="C231" sId="1"/>
    <undo index="2" exp="area" ref3D="1" dr="B$1:B$1048576" r="C230" sId="1"/>
    <undo index="2" exp="area" ref3D="1" dr="B$1:B$1048576" r="C229" sId="1"/>
    <undo index="2" exp="area" ref3D="1" dr="B$1:B$1048576" r="C228" sId="1"/>
    <undo index="2" exp="area" ref3D="1" dr="B$1:B$1048576" r="C227" sId="1"/>
    <undo index="2" exp="area" ref3D="1" dr="B$1:B$1048576" r="C226" sId="1"/>
    <undo index="2" exp="area" ref3D="1" dr="B$1:B$1048576" r="C225" sId="1"/>
    <undo index="2" exp="area" ref3D="1" dr="B$1:B$1048576" r="C224" sId="1"/>
    <undo index="2" exp="area" ref3D="1" dr="B$1:B$1048576" r="C223" sId="1"/>
    <undo index="2" exp="area" ref3D="1" dr="B$1:B$1048576" r="C222" sId="1"/>
    <undo index="2" exp="area" ref3D="1" dr="B$1:B$1048576" r="C221" sId="1"/>
    <undo index="2" exp="area" ref3D="1" dr="B$1:B$1048576" r="C220" sId="1"/>
    <undo index="2" exp="area" ref3D="1" dr="B$1:B$1048576" r="C219" sId="1"/>
    <undo index="2" exp="area" ref3D="1" dr="B$1:B$1048576" r="C218" sId="1"/>
    <undo index="2" exp="area" ref3D="1" dr="B$1:B$1048576" r="C217" sId="1"/>
    <undo index="2" exp="area" ref3D="1" dr="B$1:B$1048576" r="C216" sId="1"/>
    <undo index="2" exp="area" ref3D="1" dr="B$1:B$1048576" r="C215" sId="1"/>
    <undo index="2" exp="area" ref3D="1" dr="B$1:B$1048576" r="C214" sId="1"/>
    <undo index="2" exp="area" ref3D="1" dr="B$1:B$1048576" r="C213" sId="1"/>
    <undo index="2" exp="area" ref3D="1" dr="B$1:B$1048576" r="C212" sId="1"/>
    <undo index="2" exp="area" ref3D="1" dr="B$1:B$1048576" r="C211" sId="1"/>
    <undo index="2" exp="area" ref3D="1" dr="B$1:B$1048576" r="C210" sId="1"/>
    <undo index="2" exp="area" ref3D="1" dr="B$1:B$1048576" r="C209" sId="1"/>
    <undo index="2" exp="area" ref3D="1" dr="B$1:B$1048576" r="C208" sId="1"/>
    <undo index="2" exp="area" ref3D="1" dr="B$1:B$1048576" r="C207" sId="1"/>
    <undo index="2" exp="area" ref3D="1" dr="B$1:B$1048576" r="C206" sId="1"/>
    <undo index="2" exp="area" ref3D="1" dr="B$1:B$1048576" r="C205" sId="1"/>
    <undo index="2" exp="area" ref3D="1" dr="B$1:B$1048576" r="C204" sId="1"/>
    <undo index="2" exp="area" ref3D="1" dr="B$1:B$1048576" r="C203" sId="1"/>
    <undo index="2" exp="area" ref3D="1" dr="B$1:B$1048576" r="C202" sId="1"/>
    <undo index="2" exp="area" ref3D="1" dr="B$1:B$1048576" r="C201" sId="1"/>
    <undo index="2" exp="area" ref3D="1" dr="B$1:B$1048576" r="C200" sId="1"/>
    <undo index="2" exp="area" ref3D="1" dr="B$1:B$1048576" r="C199" sId="1"/>
    <undo index="2" exp="area" ref3D="1" dr="B$1:B$1048576" r="C198" sId="1"/>
    <undo index="2" exp="area" ref3D="1" dr="B$1:B$1048576" r="C197" sId="1"/>
    <undo index="2" exp="area" ref3D="1" dr="B$1:B$1048576" r="C196" sId="1"/>
    <undo index="2" exp="area" ref3D="1" dr="B$1:B$1048576" r="C195" sId="1"/>
    <undo index="2" exp="area" ref3D="1" dr="B$1:B$1048576" r="C194" sId="1"/>
    <undo index="2" exp="area" ref3D="1" dr="B$1:B$1048576" r="C193" sId="1"/>
    <undo index="2" exp="area" ref3D="1" dr="B$1:B$1048576" r="C192" sId="1"/>
    <undo index="2" exp="area" ref3D="1" dr="B$1:B$1048576" r="C191" sId="1"/>
    <undo index="2" exp="area" ref3D="1" dr="B$1:B$1048576" r="C190" sId="1"/>
    <undo index="2" exp="area" ref3D="1" dr="B$1:B$1048576" r="C189" sId="1"/>
    <undo index="2" exp="area" ref3D="1" dr="B$1:B$1048576" r="C188" sId="1"/>
    <undo index="2" exp="area" ref3D="1" dr="B$1:B$1048576" r="C187" sId="1"/>
    <undo index="2" exp="area" ref3D="1" dr="B$1:B$1048576" r="C186" sId="1"/>
    <undo index="2" exp="area" ref3D="1" dr="B$1:B$1048576" r="C185" sId="1"/>
    <undo index="2" exp="area" ref3D="1" dr="B$1:B$1048576" r="C184" sId="1"/>
    <undo index="2" exp="area" ref3D="1" dr="B$1:B$1048576" r="C183" sId="1"/>
    <undo index="2" exp="area" ref3D="1" dr="B$1:B$1048576" r="C182" sId="1"/>
    <undo index="2" exp="area" ref3D="1" dr="B$1:B$1048576" r="C181" sId="1"/>
    <undo index="2" exp="area" ref3D="1" dr="B$1:B$1048576" r="C180" sId="1"/>
    <undo index="2" exp="area" ref3D="1" dr="B$1:B$1048576" r="C179" sId="1"/>
    <undo index="2" exp="area" ref3D="1" dr="B$1:B$1048576" r="C178" sId="1"/>
    <undo index="2" exp="area" ref3D="1" dr="B$1:B$1048576" r="C177" sId="1"/>
    <undo index="2" exp="area" ref3D="1" dr="B$1:B$1048576" r="C176" sId="1"/>
    <undo index="2" exp="area" ref3D="1" dr="B$1:B$1048576" r="C175" sId="1"/>
    <undo index="2" exp="area" ref3D="1" dr="B$1:B$1048576" r="C174" sId="1"/>
    <undo index="2" exp="area" ref3D="1" dr="B$1:B$1048576" r="C173" sId="1"/>
    <undo index="2" exp="area" ref3D="1" dr="B$1:B$1048576" r="C172" sId="1"/>
    <undo index="2" exp="area" ref3D="1" dr="B$1:B$1048576" r="C171" sId="1"/>
    <undo index="2" exp="area" ref3D="1" dr="B$1:B$1048576" r="C170" sId="1"/>
    <undo index="2" exp="area" ref3D="1" dr="B$1:B$1048576" r="C169" sId="1"/>
    <undo index="2" exp="area" ref3D="1" dr="B$1:B$1048576" r="C168" sId="1"/>
    <undo index="2" exp="area" ref3D="1" dr="B$1:B$1048576" r="C167" sId="1"/>
    <undo index="2" exp="area" ref3D="1" dr="B$1:B$1048576" r="C166" sId="1"/>
    <undo index="2" exp="area" ref3D="1" dr="B$1:B$1048576" r="C165" sId="1"/>
    <undo index="2" exp="area" ref3D="1" dr="B$1:B$1048576" r="C164" sId="1"/>
    <undo index="2" exp="area" ref3D="1" dr="B$1:B$1048576" r="C163" sId="1"/>
    <undo index="2" exp="area" ref3D="1" dr="B$1:B$1048576" r="C162" sId="1"/>
    <undo index="2" exp="area" ref3D="1" dr="B$1:B$1048576" r="C161" sId="1"/>
    <undo index="2" exp="area" ref3D="1" dr="B$1:B$1048576" r="C160" sId="1"/>
    <undo index="2" exp="area" ref3D="1" dr="B$1:B$1048576" r="C159" sId="1"/>
    <undo index="2" exp="area" ref3D="1" dr="B$1:B$1048576" r="C158" sId="1"/>
    <undo index="2" exp="area" ref3D="1" dr="B$1:B$1048576" r="C157" sId="1"/>
    <undo index="2" exp="area" ref3D="1" dr="B$1:B$1048576" r="C156" sId="1"/>
    <undo index="2" exp="area" ref3D="1" dr="B$1:B$1048576" r="C155" sId="1"/>
    <undo index="2" exp="area" ref3D="1" dr="B$1:B$1048576" r="C154" sId="1"/>
    <undo index="2" exp="area" ref3D="1" dr="B$1:B$1048576" r="C153" sId="1"/>
    <undo index="2" exp="area" ref3D="1" dr="B$1:B$1048576" r="C152" sId="1"/>
    <undo index="2" exp="area" ref3D="1" dr="B$1:B$1048576" r="C151" sId="1"/>
    <undo index="2" exp="area" ref3D="1" dr="B$1:B$1048576" r="C150" sId="1"/>
    <undo index="2" exp="area" ref3D="1" dr="B$1:B$1048576" r="C149" sId="1"/>
    <undo index="2" exp="area" ref3D="1" dr="B$1:B$1048576" r="C148" sId="1"/>
    <undo index="2" exp="area" ref3D="1" dr="B$1:B$1048576" r="C147" sId="1"/>
    <undo index="2" exp="area" ref3D="1" dr="B$1:B$1048576" r="C146" sId="1"/>
    <undo index="2" exp="area" ref3D="1" dr="B$1:B$1048576" r="C145" sId="1"/>
    <undo index="2" exp="area" ref3D="1" dr="B$1:B$1048576" r="C144" sId="1"/>
    <undo index="2" exp="area" ref3D="1" dr="B$1:B$1048576" r="C143" sId="1"/>
    <undo index="2" exp="area" ref3D="1" dr="B$1:B$1048576" r="C142" sId="1"/>
    <undo index="2" exp="area" ref3D="1" dr="B$1:B$1048576" r="C141" sId="1"/>
    <undo index="2" exp="area" ref3D="1" dr="B$1:B$1048576" r="C140" sId="1"/>
    <undo index="2" exp="area" ref3D="1" dr="B$1:B$1048576" r="C139" sId="1"/>
    <undo index="2" exp="area" ref3D="1" dr="B$1:B$1048576" r="C138" sId="1"/>
    <undo index="2" exp="area" ref3D="1" dr="B$1:B$1048576" r="C137" sId="1"/>
    <undo index="2" exp="area" ref3D="1" dr="B$1:B$1048576" r="C136" sId="1"/>
    <undo index="2" exp="area" ref3D="1" dr="B$1:B$1048576" r="C135" sId="1"/>
    <undo index="2" exp="area" ref3D="1" dr="B$1:B$1048576" r="C134" sId="1"/>
    <undo index="2" exp="area" ref3D="1" dr="B$1:B$1048576" r="C133" sId="1"/>
    <undo index="2" exp="area" ref3D="1" dr="B$1:B$1048576" r="C132" sId="1"/>
    <undo index="2" exp="area" ref3D="1" dr="B$1:B$1048576" r="C131" sId="1"/>
    <undo index="2" exp="area" ref3D="1" dr="B$1:B$1048576" r="C130" sId="1"/>
    <undo index="2" exp="area" ref3D="1" dr="B$1:B$1048576" r="C129" sId="1"/>
    <undo index="2" exp="area" ref3D="1" dr="B$1:B$1048576" r="C128" sId="1"/>
    <undo index="2" exp="area" ref3D="1" dr="B$1:B$1048576" r="C127" sId="1"/>
    <undo index="2" exp="area" ref3D="1" dr="B$1:B$1048576" r="C126" sId="1"/>
    <undo index="2" exp="area" ref3D="1" dr="B$1:B$1048576" r="C125" sId="1"/>
    <undo index="2" exp="area" ref3D="1" dr="B$1:B$1048576" r="C124" sId="1"/>
    <undo index="2" exp="area" ref3D="1" dr="B$1:B$1048576" r="C123" sId="1"/>
    <undo index="2" exp="area" ref3D="1" dr="B$1:B$1048576" r="C122" sId="1"/>
    <undo index="2" exp="area" ref3D="1" dr="B$1:B$1048576" r="C121" sId="1"/>
    <undo index="2" exp="area" ref3D="1" dr="B$1:B$1048576" r="C120" sId="1"/>
    <undo index="2" exp="area" ref3D="1" dr="B$1:B$1048576" r="C119" sId="1"/>
    <undo index="2" exp="area" ref3D="1" dr="B$1:B$1048576" r="C118" sId="1"/>
    <undo index="2" exp="area" ref3D="1" dr="B$1:B$1048576" r="C117" sId="1"/>
    <undo index="2" exp="area" ref3D="1" dr="B$1:B$1048576" r="C116" sId="1"/>
    <undo index="2" exp="area" ref3D="1" dr="B$1:B$1048576" r="C115" sId="1"/>
    <undo index="2" exp="area" ref3D="1" dr="B$1:B$1048576" r="C114" sId="1"/>
    <undo index="2" exp="area" ref3D="1" dr="B$1:B$1048576" r="C113" sId="1"/>
    <undo index="2" exp="area" ref3D="1" dr="B$1:B$1048576" r="C112" sId="1"/>
    <undo index="2" exp="area" ref3D="1" dr="B$1:B$1048576" r="C111" sId="1"/>
    <undo index="2" exp="area" ref3D="1" dr="B$1:B$1048576" r="C110" sId="1"/>
    <undo index="2" exp="area" ref3D="1" dr="B$1:B$1048576" r="C109" sId="1"/>
    <undo index="2" exp="area" ref3D="1" dr="B$1:B$1048576" r="C108" sId="1"/>
    <undo index="2" exp="area" ref3D="1" dr="B$1:B$1048576" r="C107" sId="1"/>
    <undo index="2" exp="area" ref3D="1" dr="B$1:B$1048576" r="C106" sId="1"/>
    <undo index="2" exp="area" ref3D="1" dr="B$1:B$1048576" r="C105" sId="1"/>
    <undo index="2" exp="area" ref3D="1" dr="B$1:B$1048576" r="C104" sId="1"/>
    <undo index="2" exp="area" ref3D="1" dr="B$1:B$1048576" r="C103" sId="1"/>
    <undo index="2" exp="area" ref3D="1" dr="B$1:B$1048576" r="C102" sId="1"/>
    <undo index="2" exp="area" ref3D="1" dr="B$1:B$1048576" r="C101" sId="1"/>
    <undo index="2" exp="area" ref3D="1" dr="B$1:B$1048576" r="C100" sId="1"/>
    <undo index="2" exp="area" ref3D="1" dr="B$1:B$1048576" r="C99" sId="1"/>
    <undo index="2" exp="area" ref3D="1" dr="B$1:B$1048576" r="C98" sId="1"/>
    <undo index="2" exp="area" ref3D="1" dr="B$1:B$1048576" r="C97" sId="1"/>
    <undo index="2" exp="area" ref3D="1" dr="B$1:B$1048576" r="C96" sId="1"/>
    <undo index="2" exp="area" ref3D="1" dr="B$1:B$1048576" r="C95" sId="1"/>
    <undo index="2" exp="area" ref3D="1" dr="B$1:B$1048576" r="C94" sId="1"/>
    <undo index="2" exp="area" ref3D="1" dr="B$1:B$1048576" r="C93" sId="1"/>
    <undo index="2" exp="area" ref3D="1" dr="B$1:B$1048576" r="C92" sId="1"/>
    <undo index="2" exp="area" ref3D="1" dr="B$1:B$1048576" r="C91" sId="1"/>
    <undo index="2" exp="area" ref3D="1" dr="B$1:B$1048576" r="C90" sId="1"/>
    <undo index="2" exp="area" ref3D="1" dr="B$1:B$1048576" r="C89" sId="1"/>
    <undo index="2" exp="area" ref3D="1" dr="B$1:B$1048576" r="C88" sId="1"/>
    <undo index="2" exp="area" ref3D="1" dr="B$1:B$1048576" r="C87" sId="1"/>
    <undo index="2" exp="area" ref3D="1" dr="B$1:B$1048576" r="C86" sId="1"/>
    <undo index="2" exp="area" ref3D="1" dr="B$1:B$1048576" r="C85" sId="1"/>
    <undo index="2" exp="area" ref3D="1" dr="B$1:B$1048576" r="C84" sId="1"/>
    <undo index="2" exp="area" ref3D="1" dr="B$1:B$1048576" r="C83" sId="1"/>
    <undo index="2" exp="area" ref3D="1" dr="B$1:B$1048576" r="C82" sId="1"/>
    <undo index="2" exp="area" ref3D="1" dr="B$1:B$1048576" r="C81" sId="1"/>
    <undo index="2" exp="area" ref3D="1" dr="B$1:B$1048576" r="C80" sId="1"/>
    <undo index="2" exp="area" ref3D="1" dr="B$1:B$1048576" r="C79" sId="1"/>
    <undo index="2" exp="area" ref3D="1" dr="B$1:B$1048576" r="C78" sId="1"/>
    <undo index="2" exp="area" ref3D="1" dr="B$1:B$1048576" r="C77" sId="1"/>
    <undo index="2" exp="area" ref3D="1" dr="B$1:B$1048576" r="C76" sId="1"/>
    <undo index="2" exp="area" ref3D="1" dr="B$1:B$1048576" r="C75" sId="1"/>
    <undo index="2" exp="area" ref3D="1" dr="B$1:B$1048576" r="C74" sId="1"/>
    <undo index="2" exp="area" ref3D="1" dr="B$1:B$1048576" r="C73" sId="1"/>
    <undo index="2" exp="area" ref3D="1" dr="B$1:B$1048576" r="C72" sId="1"/>
    <undo index="2" exp="area" ref3D="1" dr="B$1:B$1048576" r="C71" sId="1"/>
    <undo index="2" exp="area" ref3D="1" dr="B$1:B$1048576" r="C70" sId="1"/>
    <undo index="2" exp="area" ref3D="1" dr="B$1:B$1048576" r="C69" sId="1"/>
    <undo index="2" exp="area" ref3D="1" dr="B$1:B$1048576" r="C68" sId="1"/>
    <undo index="2" exp="area" ref3D="1" dr="B$1:B$1048576" r="C67" sId="1"/>
    <undo index="2" exp="area" ref3D="1" dr="B$1:B$1048576" r="C66" sId="1"/>
    <undo index="2" exp="area" ref3D="1" dr="B$1:B$1048576" r="C65" sId="1"/>
    <undo index="2" exp="area" ref3D="1" dr="B$1:B$1048576" r="C64" sId="1"/>
    <undo index="2" exp="area" ref3D="1" dr="B$1:B$1048576" r="C63" sId="1"/>
    <undo index="2" exp="area" ref3D="1" dr="B$1:B$1048576" r="C62" sId="1"/>
    <undo index="2" exp="area" ref3D="1" dr="B$1:B$1048576" r="C61" sId="1"/>
    <undo index="2" exp="area" ref3D="1" dr="B$1:B$1048576" r="C60" sId="1"/>
    <undo index="2" exp="area" ref3D="1" dr="B$1:B$1048576" r="C59" sId="1"/>
    <undo index="2" exp="area" ref3D="1" dr="B$1:B$1048576" r="C58" sId="1"/>
    <undo index="2" exp="area" ref3D="1" dr="B$1:B$1048576" r="C57" sId="1"/>
    <undo index="2" exp="area" ref3D="1" dr="B$1:B$1048576" r="C56" sId="1"/>
    <undo index="2" exp="area" ref3D="1" dr="B$1:B$1048576" r="C55" sId="1"/>
    <undo index="2" exp="area" ref3D="1" dr="B$1:B$1048576" r="C54" sId="1"/>
    <undo index="2" exp="area" ref3D="1" dr="B$1:B$1048576" r="C53" sId="1"/>
    <undo index="2" exp="area" ref3D="1" dr="B$1:B$1048576" r="C52" sId="1"/>
    <undo index="2" exp="area" ref3D="1" dr="B$1:B$1048576" r="C51" sId="1"/>
    <undo index="2" exp="area" ref3D="1" dr="B$1:B$1048576" r="C50" sId="1"/>
    <undo index="2" exp="area" ref3D="1" dr="B$1:B$1048576" r="C49" sId="1"/>
    <undo index="2" exp="area" ref3D="1" dr="B$1:B$1048576" r="C48" sId="1"/>
    <undo index="2" exp="area" ref3D="1" dr="B$1:B$1048576" r="C47" sId="1"/>
    <undo index="2" exp="area" ref3D="1" dr="B$1:B$1048576" r="C46" sId="1"/>
    <undo index="2" exp="area" ref3D="1" dr="B$1:B$1048576" r="C45" sId="1"/>
    <undo index="2" exp="area" ref3D="1" dr="B$1:B$1048576" r="C44" sId="1"/>
    <undo index="2" exp="area" ref3D="1" dr="B$1:B$1048576" r="C43" sId="1"/>
    <undo index="2" exp="area" ref3D="1" dr="B$1:B$1048576" r="C42" sId="1"/>
    <undo index="2" exp="area" ref3D="1" dr="B$1:B$1048576" r="C41" sId="1"/>
    <undo index="2" exp="area" ref3D="1" dr="B$1:B$1048576" r="C40" sId="1"/>
    <undo index="2" exp="area" ref3D="1" dr="B$1:B$1048576" r="C39" sId="1"/>
    <undo index="2" exp="area" ref3D="1" dr="B$1:B$1048576" r="C38" sId="1"/>
    <undo index="2" exp="area" ref3D="1" dr="B$1:B$1048576" r="C37" sId="1"/>
    <undo index="2" exp="area" ref3D="1" dr="B$1:B$1048576" r="C36" sId="1"/>
    <undo index="2" exp="area" ref3D="1" dr="B$1:B$1048576" r="C35" sId="1"/>
    <undo index="2" exp="area" ref3D="1" dr="B$1:B$1048576" r="C34" sId="1"/>
    <undo index="2" exp="area" ref3D="1" dr="B$1:B$1048576" r="C33" sId="1"/>
    <undo index="2" exp="area" ref3D="1" dr="B$1:B$1048576" r="C32" sId="1"/>
    <undo index="2" exp="area" ref3D="1" dr="B$1:B$1048576" r="C31" sId="1"/>
    <undo index="2" exp="area" ref3D="1" dr="B$1:B$1048576" r="C30" sId="1"/>
    <undo index="2" exp="area" ref3D="1" dr="B$1:B$1048576" r="C29" sId="1"/>
    <undo index="2" exp="area" ref3D="1" dr="B$1:B$1048576" r="C28" sId="1"/>
    <undo index="2" exp="area" ref3D="1" dr="B$1:B$1048576" r="C27" sId="1"/>
    <undo index="2" exp="area" ref3D="1" dr="B$1:B$1048576" r="C26" sId="1"/>
    <undo index="2" exp="area" ref3D="1" dr="B$1:B$1048576" r="C25" sId="1"/>
    <undo index="2" exp="area" ref3D="1" dr="B$1:B$1048576" r="C24" sId="1"/>
    <undo index="2" exp="area" ref3D="1" dr="B$1:B$1048576" r="C23" sId="1"/>
    <undo index="2" exp="area" ref3D="1" dr="B$1:B$1048576" r="C22" sId="1"/>
    <undo index="2" exp="area" ref3D="1" dr="B$1:B$1048576" r="C21" sId="1"/>
    <undo index="2" exp="area" ref3D="1" dr="B$1:B$1048576" r="C20" sId="1"/>
    <undo index="2" exp="area" ref3D="1" dr="B$1:B$1048576" r="C19" sId="1"/>
    <undo index="2" exp="area" ref3D="1" dr="B$1:B$1048576" r="C18" sId="1"/>
    <undo index="2" exp="area" ref3D="1" dr="B$1:B$1048576" r="C17" sId="1"/>
    <undo index="2" exp="area" ref3D="1" dr="B$1:B$1048576" r="C16" sId="1"/>
    <undo index="2" exp="area" ref3D="1" dr="B$1:B$1048576" r="C15" sId="1"/>
    <undo index="2" exp="area" ref3D="1" dr="B$1:B$1048576" r="C14" sId="1"/>
    <undo index="2" exp="area" ref3D="1" dr="B$1:B$1048576" r="C13" sId="1"/>
    <undo index="2" exp="area" ref3D="1" dr="B$1:B$1048576" r="C12" sId="1"/>
    <undo index="2" exp="area" ref3D="1" dr="B$1:B$1048576" r="C11" sId="1"/>
    <undo index="2" exp="area" ref3D="1" dr="B$1:B$1048576" r="C10" sId="1"/>
    <undo index="2" exp="area" ref3D="1" dr="B$1:B$1048576" r="C9" sId="1"/>
    <undo index="2" exp="area" ref3D="1" dr="B$1:B$1048576" r="C8" sId="1"/>
    <undo index="2" exp="area" ref3D="1" dr="B$1:B$1048576" r="C7" sId="1"/>
    <undo index="2" exp="area" ref3D="1" dr="B$1:B$1048576" r="C6" sId="1"/>
    <undo index="2" exp="area" ref3D="1" dr="B$1:B$1048576" r="C5" sId="1"/>
    <undo index="2" exp="area" ref3D="1" dr="B$1:B$1048576" r="C4" sId="1"/>
    <undo index="2" exp="area" ref3D="1" dr="B$1:B$1048576" r="C3" sId="1"/>
    <undo index="2" exp="area" ref3D="1" dr="B$1:B$1048576" r="C2" sId="1"/>
  </rrc>
  <rcc rId="4572" sId="2">
    <nc r="A541">
      <v>913</v>
    </nc>
  </rcc>
  <rcc rId="4573" sId="2" xfDxf="1" dxf="1">
    <nc r="B541" t="inlineStr">
      <is>
        <t>DIOGO ALCANTARA SANTOS</t>
      </is>
    </nc>
    <ndxf>
      <font>
        <sz val="10"/>
      </font>
    </ndxf>
  </rcc>
</revisions>
</file>

<file path=xl/revisions/revisionLog3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74" sId="1">
    <nc r="L412" t="inlineStr">
      <is>
        <t>SITE</t>
      </is>
    </nc>
  </rcc>
  <rcc rId="4575" sId="1">
    <nc r="L403" t="inlineStr">
      <is>
        <t>SITE</t>
      </is>
    </nc>
  </rc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Empresas'!$A$1:$N$423</formula>
    <oldFormula>'Controle Empresas'!$A$1:$N$423</oldFormula>
  </rdn>
  <rcv guid="{590CEBDA-E7AE-4D8D-8613-56208662CCA9}" action="add"/>
</revisions>
</file>

<file path=xl/revisions/revisionLog3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78" sId="2">
    <oc r="C534" t="inlineStr">
      <is>
        <r>
          <t>É PRESUMIDO TEM DESC. DE VT EM FOLHA E GERAMOS BOLETO, A FRANC. PASSA QUANTIDADE DE VALE TRANSPORTE. Login: 17525444000143 senha:12345 geramos boleto para as funcionárias( Josiane e Thaiza E LILIAN ( 4 vt DE SEG A SEXTA))</t>
        </r>
        <r>
          <rPr>
            <sz val="10"/>
            <color rgb="FFFF0000"/>
            <rFont val="Calibri"/>
            <family val="2"/>
          </rPr>
          <t>A FUNC. JOSIANE TEM PLANO DE QUE ESTA DIV DE 3 VEZES JÁ ESTA LANÇADO NO SISTEMA VAI ATÉ O MÊS 4/2020.</t>
        </r>
      </is>
    </oc>
    <nc r="C534" t="inlineStr">
      <is>
        <r>
          <t>É PRESUMIDO TEM DESC. DE VT EM FOLHA E GERAMOS BOLETO, A FRANC. PASSA QUANTIDADE DE VALE TRANSPORTE. Login: 17525444000143 senha:12345 geramos boleto para as funcionárias( Josiane  E LILIAN ( 4 vt DE SEG A SEXTA))</t>
        </r>
        <r>
          <rPr>
            <sz val="10"/>
            <color rgb="FFFF0000"/>
            <rFont val="Calibri"/>
            <family val="2"/>
          </rPr>
          <t>A FUNC. JOSIANE TEM PLANO DE QUE ESTA DIV DE 3 VEZES JÁ ESTA LANÇADO NO SISTEMA VAI ATÉ O MÊS 4/2020.</t>
        </r>
      </is>
    </nc>
  </rcc>
  <rcv guid="{DAEEB123-9C5D-4BF0-8F09-E7DEBC62D826}" action="delete"/>
  <rdn rId="0" localSheetId="2" customView="1" name="Z_DAEEB123_9C5D_4BF0_8F09_E7DEBC62D826_.wvu.FilterData" hidden="1" oldHidden="1">
    <formula>Particularidade!$A$1:$D$244</formula>
    <oldFormula>Particularidade!$A$1:$D$244</oldFormula>
  </rdn>
  <rdn rId="0" localSheetId="1" customView="1" name="Z_DAEEB123_9C5D_4BF0_8F09_E7DEBC62D826_.wvu.Cols" hidden="1" oldHidden="1">
    <formula>'Controle Empresas'!$C:$F</formula>
    <oldFormula>'Controle Empresas'!$C:$F</oldFormula>
  </rdn>
  <rdn rId="0" localSheetId="1" customView="1" name="Z_DAEEB123_9C5D_4BF0_8F09_E7DEBC62D826_.wvu.FilterData" hidden="1" oldHidden="1">
    <formula>'Controle Empresas'!$A$1:$N$423</formula>
    <oldFormula>'Controle Empresas'!$A$1:$N$423</oldFormula>
  </rdn>
  <rcv guid="{DAEEB123-9C5D-4BF0-8F09-E7DEBC62D826}" action="add"/>
</revisions>
</file>

<file path=xl/revisions/revisionLog3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82" sId="2">
    <oc r="A502">
      <v>862</v>
    </oc>
    <nc r="A502">
      <v>863</v>
    </nc>
  </rcc>
  <rcc rId="4583" sId="2">
    <oc r="A503">
      <v>863</v>
    </oc>
    <nc r="A503">
      <v>862</v>
    </nc>
  </rcc>
  <rcc rId="4584" sId="2">
    <oc r="B502" t="inlineStr">
      <is>
        <t>MINAS PRAIA FILIAL</t>
      </is>
    </oc>
    <nc r="B502" t="inlineStr">
      <is>
        <t xml:space="preserve">MINAS PRAIA </t>
      </is>
    </nc>
  </rcc>
  <rcc rId="4585" sId="2">
    <oc r="B503" t="inlineStr">
      <is>
        <t>MINAS PRAIA</t>
      </is>
    </oc>
    <nc r="B503" t="inlineStr">
      <is>
        <t>MINAS PRAIA FILIAL</t>
      </is>
    </nc>
  </rcc>
  <rcc rId="4586" sId="2">
    <oc r="C503"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 OU SEJA(6HS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t>
      </is>
    </oc>
    <nc r="C503"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05:00)APLICAR O VALOR *1.142857 (OU SEJA 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t>
      </is>
    </nc>
  </rcc>
  <rcv guid="{3BCABC4F-4072-4ED9-90CC-E9BE96773387}" action="delete"/>
  <rdn rId="0" localSheetId="2" customView="1" name="Z_3BCABC4F_4072_4ED9_90CC_E9BE96773387_.wvu.FilterData" hidden="1" oldHidden="1">
    <formula>Particularidade!$A$1:$D$244</formula>
    <oldFormula>Particularidade!$A$1:$D$244</oldFormula>
  </rdn>
  <rdn rId="0" localSheetId="1" customView="1" name="Z_3BCABC4F_4072_4ED9_90CC_E9BE96773387_.wvu.Cols" hidden="1" oldHidden="1">
    <formula>'Controle Empresas'!$C:$F,'Controle Empresas'!$K:$K</formula>
    <oldFormula>'Controle Empresas'!$C:$F,'Controle Empresas'!$K:$K</oldFormula>
  </rdn>
  <rdn rId="0" localSheetId="1" customView="1" name="Z_3BCABC4F_4072_4ED9_90CC_E9BE96773387_.wvu.FilterData" hidden="1" oldHidden="1">
    <formula>'Controle Empresas'!$A$1:$N$423</formula>
    <oldFormula>'Controle Empresas'!$A$1:$N$423</oldFormula>
  </rdn>
  <rcv guid="{3BCABC4F-4072-4ED9-90CC-E9BE96773387}" action="add"/>
</revisions>
</file>

<file path=xl/revisions/revisionLog3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590CEBDA-E7AE-4D8D-8613-56208662CCA9}" action="delete"/>
  <rdn rId="0" localSheetId="2" customView="1" name="Z_590CEBDA_E7AE_4D8D_8613_56208662CCA9_.wvu.FilterData" hidden="1" oldHidden="1">
    <formula>Particularidade!$A$1:$D$244</formula>
    <oldFormula>Particularidade!$A$1:$D$244</oldFormula>
  </rdn>
  <rdn rId="0" localSheetId="1" customView="1" name="Z_590CEBDA_E7AE_4D8D_8613_56208662CCA9_.wvu.FilterData" hidden="1" oldHidden="1">
    <formula>'Controle Empresas'!$A$1:$N$423</formula>
    <oldFormula>'Controle Empresas'!$A$1:$N$423</oldFormula>
  </rdn>
  <rcv guid="{590CEBDA-E7AE-4D8D-8613-56208662CCA9}" action="add"/>
</revisions>
</file>

<file path=xl/revisions/revisionLog3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92" sId="1">
    <oc r="M224" t="inlineStr">
      <is>
        <t xml:space="preserve">Pro labore (   ) 
INSS (   )
GFIP (   )  (  ) IRFF                                     </t>
      </is>
    </oc>
    <nc r="M224" t="inlineStr">
      <is>
        <r>
          <t xml:space="preserve">Pro labore (   )            </t>
        </r>
        <r>
          <rPr>
            <b/>
            <sz val="9"/>
            <rFont val="Arial"/>
            <family val="2"/>
          </rPr>
          <t xml:space="preserve">Passar s/m em junho </t>
        </r>
        <r>
          <rPr>
            <sz val="9"/>
            <rFont val="Arial"/>
            <family val="2"/>
          </rPr>
          <t xml:space="preserve">
INSS (   )
GFIP (   )  (  ) IRFF                                     </t>
        </r>
      </is>
    </nc>
  </rcc>
</revisions>
</file>

<file path=xl/revisions/revisionLog3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93" sId="1">
    <oc r="M224" t="inlineStr">
      <is>
        <r>
          <t xml:space="preserve">Pro labore (   )            </t>
        </r>
        <r>
          <rPr>
            <b/>
            <sz val="9"/>
            <rFont val="Arial"/>
            <family val="2"/>
          </rPr>
          <t xml:space="preserve">Passar s/m em junho </t>
        </r>
        <r>
          <rPr>
            <sz val="9"/>
            <rFont val="Arial"/>
            <family val="2"/>
          </rPr>
          <t xml:space="preserve">
INSS (   )
GFIP (   )  (  ) IRFF                                     </t>
        </r>
      </is>
    </oc>
    <nc r="M224" t="inlineStr">
      <is>
        <r>
          <t xml:space="preserve">Pro labore (   )            </t>
        </r>
        <r>
          <rPr>
            <b/>
            <sz val="9"/>
            <rFont val="Arial"/>
            <family val="2"/>
          </rPr>
          <t xml:space="preserve">Passar s/m em junho/2020 </t>
        </r>
        <r>
          <rPr>
            <sz val="9"/>
            <rFont val="Arial"/>
            <family val="2"/>
          </rPr>
          <t xml:space="preserve">
INSS (   )
GFIP (   )  (  ) IRFF                                     </t>
        </r>
      </is>
    </nc>
  </rcc>
</revisions>
</file>

<file path=xl/revisions/revisionLog3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94" sId="2">
    <oc r="C503"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05:00)APLICAR O VALOR *1.142857 (OU SEJA 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t>
      </is>
    </oc>
    <nc r="C503"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05:00)APLICAR O VALOR *1.142857 (OU SEJA 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UM.Mes de abril,maio e junho alguns funcionarios funcionarios estão iptando sem vt temporario verificar com ela.</t>
      </is>
    </nc>
  </rcc>
</revisions>
</file>

<file path=xl/revisions/revisionLog3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95" sId="2">
    <oc r="C503"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05:00)APLICAR O VALOR *1.142857 (OU SEJA 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UM.Mes de abril,maio e junho alguns funcionarios funcionarios estão iptando sem vt temporario verificar com ela.</t>
      </is>
    </oc>
    <nc r="C503" t="inlineStr">
      <is>
        <t>RECARGA DE VT E FEITA NA EMPRESA SÓ FAZEMOS O DESCONTO 6% EM FOLHA.PAGA FERIADOS.TEM ANUENIO APENAS PARA OS FUNCIONARIOS ANTIGOS(SALARIO CONTRATUAL X ANOS TRABALHADOS),MANTER OS QUE ADMITIR SEM AUMENTAR)   ABILIO E CARLOS AUGUSTO  e Carlos Bruno FAZ ADICIONAL NOTURNO TRABALHA 6X1 NO HORARIO DE 23:00 AS 07:20 (LEMBRANDO QUE SO PAGA ADICIONAL ATÉ AS 05:00)APLICAR O VALOR *1.142857 (OU SEJA 6HS RELOGIO E 6,86 NOTURNA POR DIA).FOLGUISTA RECEBE NORMAL + O QUE FIZER DE NOTURNO OU EXTRAS.PASSA AS HORAS E AQUI TRANFORMO EM NOTURNO. cada admissão feita deve se incluir o email para ser enviado pro mesmo.aPOS O FECHAMENTO PEDIR A MARCELA PARA ENVIAR OS RECIBOS PARA O EMAIL DE CADA UM.Mes de abril,maio e junho suspensão alguns  funcionarios estão optando sem vt temporario verificar com ela.</t>
      </is>
    </nc>
  </rcc>
</revisions>
</file>

<file path=xl/revisions/revisionLog3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96" sId="1">
    <oc r="G399" t="inlineStr">
      <is>
        <t>CARL</t>
      </is>
    </oc>
    <nc r="G399" t="inlineStr">
      <is>
        <t>FRAN</t>
      </is>
    </nc>
  </rcc>
  <rcc rId="4597" sId="1">
    <oc r="G398" t="inlineStr">
      <is>
        <t>CARL</t>
      </is>
    </oc>
    <nc r="G398" t="inlineStr">
      <is>
        <t>FRAN</t>
      </is>
    </nc>
  </rcc>
  <rcc rId="4598" sId="1">
    <oc r="G400" t="inlineStr">
      <is>
        <t>CARL</t>
      </is>
    </oc>
    <nc r="G400" t="inlineStr">
      <is>
        <t>FRAN</t>
      </is>
    </nc>
  </rcc>
  <rcc rId="4599" sId="1">
    <oc r="G392" t="inlineStr">
      <is>
        <t>CARL</t>
      </is>
    </oc>
    <nc r="G392" t="inlineStr">
      <is>
        <t>FRAN</t>
      </is>
    </nc>
  </rcc>
  <rcc rId="4600" sId="1">
    <oc r="G376" t="inlineStr">
      <is>
        <t>CARL</t>
      </is>
    </oc>
    <nc r="G376" t="inlineStr">
      <is>
        <t>FRAN</t>
      </is>
    </nc>
  </rcc>
  <rcc rId="4601" sId="1">
    <oc r="G381" t="inlineStr">
      <is>
        <t>CARL</t>
      </is>
    </oc>
    <nc r="G381" t="inlineStr">
      <is>
        <t>FRAN</t>
      </is>
    </nc>
  </rcc>
  <rcc rId="4602" sId="1">
    <oc r="G285" t="inlineStr">
      <is>
        <t>CARL</t>
      </is>
    </oc>
    <nc r="G285" t="inlineStr">
      <is>
        <t>FRAN</t>
      </is>
    </nc>
  </rcc>
  <rcc rId="4603" sId="1">
    <oc r="G276" t="inlineStr">
      <is>
        <t>CARL</t>
      </is>
    </oc>
    <nc r="G276" t="inlineStr">
      <is>
        <t>FRAN</t>
      </is>
    </nc>
  </rcc>
  <rcc rId="4604" sId="1">
    <oc r="G252" t="inlineStr">
      <is>
        <t>CARL</t>
      </is>
    </oc>
    <nc r="G252" t="inlineStr">
      <is>
        <t>FRAN</t>
      </is>
    </nc>
  </rcc>
  <rcc rId="4605" sId="1">
    <oc r="G220" t="inlineStr">
      <is>
        <t>CARL</t>
      </is>
    </oc>
    <nc r="G220" t="inlineStr">
      <is>
        <t>FRAN</t>
      </is>
    </nc>
  </rcc>
  <rdn rId="0" localSheetId="2" customView="1" name="Z_52D4489E_F705_44D0_BDD7_2E61E89BBFE2_.wvu.FilterData" hidden="1" oldHidden="1">
    <formula>Particularidade!$A$1:$D$244</formula>
  </rdn>
  <rdn rId="0" localSheetId="1" customView="1" name="Z_52D4489E_F705_44D0_BDD7_2E61E89BBFE2_.wvu.Cols" hidden="1" oldHidden="1">
    <formula>'Controle Empresas'!$C:$F,'Controle Empresas'!$K:$K</formula>
  </rdn>
  <rdn rId="0" localSheetId="1" customView="1" name="Z_52D4489E_F705_44D0_BDD7_2E61E89BBFE2_.wvu.FilterData" hidden="1" oldHidden="1">
    <formula>'Controle Empresas'!$A$1:$N$423</formula>
  </rdn>
  <rcv guid="{52D4489E-F705-44D0-BDD7-2E61E89BBFE2}" action="add"/>
</revisions>
</file>

<file path=xl/revisions/revisionLog3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52D4489E-F705-44D0-BDD7-2E61E89BBFE2}" action="delete"/>
  <rdn rId="0" localSheetId="2" customView="1" name="Z_52D4489E_F705_44D0_BDD7_2E61E89BBFE2_.wvu.FilterData" hidden="1" oldHidden="1">
    <formula>Particularidade!$A$1:$D$244</formula>
    <oldFormula>Particularidade!$A$1:$D$244</oldFormula>
  </rdn>
  <rdn rId="0" localSheetId="1" customView="1" name="Z_52D4489E_F705_44D0_BDD7_2E61E89BBFE2_.wvu.Cols" hidden="1" oldHidden="1">
    <formula>'Controle Empresas'!$D:$F,'Controle Empresas'!$K:$K</formula>
    <oldFormula>'Controle Empresas'!$C:$F,'Controle Empresas'!$K:$K</oldFormula>
  </rdn>
  <rdn rId="0" localSheetId="1" customView="1" name="Z_52D4489E_F705_44D0_BDD7_2E61E89BBFE2_.wvu.FilterData" hidden="1" oldHidden="1">
    <formula>'Controle Empresas'!$A$1:$N$423</formula>
    <oldFormula>'Controle Empresas'!$A$1:$N$423</oldFormula>
  </rdn>
  <rcv guid="{52D4489E-F705-44D0-BDD7-2E61E89BBFE2}" action="add"/>
</revisions>
</file>

<file path=xl/revisions/revisionLog3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12" sId="1">
    <oc r="M352" t="inlineStr">
      <is>
        <t>Folha e Pro labore (   )                                
INSS (   )
GFIP (  )
verificar faturamento anexo IV (sara**) - Fator R</t>
      </is>
    </oc>
    <nc r="M352" t="inlineStr">
      <is>
        <t>Folha e Pro labore (   )                               paralizar atividades
INSS (   )
GFIP (  )
verificar faturamento anexo IV (sara**) - Fator R</t>
      </is>
    </nc>
  </rcc>
  <rcc rId="4613" sId="1">
    <oc r="M16" t="inlineStr">
      <is>
        <r>
          <t>Pro labore (   )
INSS (   )
GFIP (   )</t>
        </r>
        <r>
          <rPr>
            <sz val="9"/>
            <color rgb="FFFF0000"/>
            <rFont val="Arial"/>
            <family val="2"/>
          </rPr>
          <t xml:space="preserve"> </t>
        </r>
      </is>
    </oc>
    <nc r="M16" t="inlineStr">
      <is>
        <r>
          <t>Pro labore (   )      Mês 05 ultimo vez que vai emitir PL , mês 06 colocar S/M
INSS (   )
GFIP (   )</t>
        </r>
        <r>
          <rPr>
            <sz val="9"/>
            <color rgb="FFFF0000"/>
            <rFont val="Arial"/>
            <family val="2"/>
          </rPr>
          <t xml:space="preserve"> </t>
        </r>
      </is>
    </nc>
  </rcc>
  <rcc rId="4614" sId="1">
    <oc r="M299" t="inlineStr">
      <is>
        <t xml:space="preserve">Pro labore (   )
INSS (   )
GFIP (   )   </t>
      </is>
    </oc>
    <nc r="M299" t="inlineStr">
      <is>
        <t xml:space="preserve">Pro labore (   )
INSS (   )   MÊS 05 GERAR S/M 
GFIP (   )   </t>
      </is>
    </nc>
  </rcc>
  <rrc rId="4615" sId="1" ref="A414:XFD414" action="insertRow">
    <undo index="0" exp="area" ref3D="1" dr="G$1:G$1048576" r="E7" sId="3"/>
    <undo index="2" exp="area" ref3D="1" dr="H$1:H$1048576" r="D7" sId="3"/>
    <undo index="0" exp="area" ref3D="1" dr="G$1:G$1048576" r="D7" sId="3"/>
    <undo index="3" exp="area" ref3D="1" dr="H$1:H$1048576" r="C7" sId="3"/>
    <undo index="1" exp="area" ref3D="1" dr="G$1:G$1048576" r="C7" sId="3"/>
    <undo index="0" exp="area" ref3D="1" dr="I$1:I$1048576" r="C7" sId="3"/>
    <undo index="0" exp="area" ref3D="1" dr="G$1:G$1048576" r="E6" sId="3"/>
    <undo index="2" exp="area" ref3D="1" dr="H$1:H$1048576" r="D6" sId="3"/>
    <undo index="0" exp="area" ref3D="1" dr="G$1:G$1048576" r="D6" sId="3"/>
    <undo index="3" exp="area" ref3D="1" dr="H$1:H$1048576" r="C6" sId="3"/>
    <undo index="1" exp="area" ref3D="1" dr="G$1:G$1048576" r="C6" sId="3"/>
    <undo index="0" exp="area" ref3D="1" dr="I$1:I$1048576" r="C6" sId="3"/>
    <undo index="0" exp="area" ref3D="1" dr="G$1:G$1048576" r="E5" sId="3"/>
    <undo index="2" exp="area" ref3D="1" dr="H$1:H$1048576" r="D5" sId="3"/>
    <undo index="0" exp="area" ref3D="1" dr="G$1:G$1048576" r="D5" sId="3"/>
    <undo index="3" exp="area" ref3D="1" dr="H$1:H$1048576" r="C5" sId="3"/>
    <undo index="1" exp="area" ref3D="1" dr="G$1:G$1048576" r="C5" sId="3"/>
    <undo index="0" exp="area" ref3D="1" dr="I$1:I$1048576" r="C5" sId="3"/>
    <undo index="0" exp="area" ref3D="1" dr="G$1:G$1048576" r="E4" sId="3"/>
    <undo index="2" exp="area" ref3D="1" dr="H$1:H$1048576" r="D4" sId="3"/>
    <undo index="0" exp="area" ref3D="1" dr="G$1:G$1048576" r="D4" sId="3"/>
    <undo index="3" exp="area" ref3D="1" dr="H$1:H$1048576" r="C4" sId="3"/>
    <undo index="1" exp="area" ref3D="1" dr="G$1:G$1048576" r="C4" sId="3"/>
    <undo index="0" exp="area" ref3D="1" dr="I$1:I$1048576" r="C4" sId="3"/>
    <undo index="0" exp="area" ref3D="1" dr="G$1:G$1048576" r="E3" sId="3"/>
    <undo index="2" exp="area" ref3D="1" dr="H$1:H$1048576" r="D3" sId="3"/>
    <undo index="0" exp="area" ref3D="1" dr="G$1:G$1048576" r="D3" sId="3"/>
    <undo index="3" exp="area" ref3D="1" dr="H$1:H$1048576" r="C3" sId="3"/>
    <undo index="1" exp="area" ref3D="1" dr="G$1:G$1048576" r="C3" sId="3"/>
    <undo index="0" exp="area" ref3D="1" dr="I$1:I$1048576" r="C3" sId="3"/>
    <undo index="0" exp="area" ref3D="1" dr="$C$1:$F$1048576" dn="Z_DFB7C661_5C1D_4491_B5BB_D24125818F62_.wvu.Cols" sId="1"/>
    <undo index="0" exp="area" ref3D="1" dr="$C$1:$F$1048576" dn="Z_DAEEB123_9C5D_4BF0_8F09_E7DEBC62D826_.wvu.Cols" sId="1"/>
    <undo index="2" exp="area" ref3D="1" dr="$K$1:$K$1048576" dn="Z_52D4489E_F705_44D0_BDD7_2E61E89BBFE2_.wvu.Cols" sId="1"/>
    <undo index="1" exp="area" ref3D="1" dr="$D$1:$F$1048576" dn="Z_52D4489E_F705_44D0_BDD7_2E61E89BBFE2_.wvu.Cols" sId="1"/>
    <undo index="2" exp="area" ref3D="1" dr="$K$1:$K$1048576" dn="Z_3BCABC4F_4072_4ED9_90CC_E9BE96773387_.wvu.Cols" sId="1"/>
    <undo index="1" exp="area" ref3D="1" dr="$C$1:$F$1048576" dn="Z_3BCABC4F_4072_4ED9_90CC_E9BE96773387_.wvu.Cols" sId="1"/>
  </rrc>
  <rcc rId="4616" sId="1" xfDxf="1" dxf="1">
    <nc r="B414" t="inlineStr">
      <is>
        <t>ARIELE DUTRA</t>
      </is>
    </nc>
    <ndxf>
      <font>
        <sz val="9"/>
        <color auto="1"/>
        <name val="Arial"/>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ndxf>
  </rcc>
  <rcc rId="4617" sId="1">
    <nc r="G414" t="inlineStr">
      <is>
        <t>FRAN</t>
      </is>
    </nc>
  </rcc>
  <rcc rId="4618" sId="1">
    <nc r="I414">
      <v>1</v>
    </nc>
  </rcc>
  <rcc rId="4619" sId="1">
    <nc r="A414">
      <v>914</v>
    </nc>
  </rcc>
  <rcc rId="4620" sId="1">
    <oc r="G11" t="inlineStr">
      <is>
        <t>CARL</t>
      </is>
    </oc>
    <nc r="G11" t="inlineStr">
      <is>
        <t>FRAN</t>
      </is>
    </nc>
  </rcc>
  <rcc rId="4621" sId="1">
    <oc r="G12" t="inlineStr">
      <is>
        <t>CARL</t>
      </is>
    </oc>
    <nc r="G12" t="inlineStr">
      <is>
        <t>FRAN</t>
      </is>
    </nc>
  </rcc>
  <rcc rId="4622" sId="1">
    <oc r="G17" t="inlineStr">
      <is>
        <t>CARL</t>
      </is>
    </oc>
    <nc r="G17" t="inlineStr">
      <is>
        <t>FRAN</t>
      </is>
    </nc>
  </rcc>
  <rcc rId="4623" sId="1">
    <oc r="G27" t="inlineStr">
      <is>
        <t>CARL</t>
      </is>
    </oc>
    <nc r="G27" t="inlineStr">
      <is>
        <t>FRAN</t>
      </is>
    </nc>
  </rcc>
  <rcc rId="4624" sId="1">
    <oc r="G29" t="inlineStr">
      <is>
        <t>CARL</t>
      </is>
    </oc>
    <nc r="G29" t="inlineStr">
      <is>
        <t>FRAN</t>
      </is>
    </nc>
  </rcc>
  <rcc rId="4625" sId="1">
    <oc r="G33" t="inlineStr">
      <is>
        <t>CARL</t>
      </is>
    </oc>
    <nc r="G33" t="inlineStr">
      <is>
        <t>FRAN</t>
      </is>
    </nc>
  </rcc>
  <rcc rId="4626" sId="1">
    <oc r="G49" t="inlineStr">
      <is>
        <t>CARL</t>
      </is>
    </oc>
    <nc r="G49" t="inlineStr">
      <is>
        <t>FRAN</t>
      </is>
    </nc>
  </rcc>
  <rcc rId="4627" sId="1">
    <oc r="G57" t="inlineStr">
      <is>
        <t>CARL</t>
      </is>
    </oc>
    <nc r="G57" t="inlineStr">
      <is>
        <t>FRAN</t>
      </is>
    </nc>
  </rcc>
  <rcc rId="4628" sId="1">
    <oc r="G64" t="inlineStr">
      <is>
        <t>CARL</t>
      </is>
    </oc>
    <nc r="G64" t="inlineStr">
      <is>
        <t>FRAN</t>
      </is>
    </nc>
  </rcc>
  <rcc rId="4629" sId="1">
    <oc r="G117" t="inlineStr">
      <is>
        <t>CARL</t>
      </is>
    </oc>
    <nc r="G117" t="inlineStr">
      <is>
        <t>FRAN</t>
      </is>
    </nc>
  </rcc>
  <rcc rId="4630" sId="1">
    <oc r="G120" t="inlineStr">
      <is>
        <t>CARL</t>
      </is>
    </oc>
    <nc r="G120" t="inlineStr">
      <is>
        <t>FRAN</t>
      </is>
    </nc>
  </rcc>
  <rcc rId="4631" sId="1">
    <oc r="G121" t="inlineStr">
      <is>
        <t>CARL</t>
      </is>
    </oc>
    <nc r="G121" t="inlineStr">
      <is>
        <t>FRAN</t>
      </is>
    </nc>
  </rcc>
  <rcc rId="4632" sId="1">
    <oc r="G126" t="inlineStr">
      <is>
        <t>CARL</t>
      </is>
    </oc>
    <nc r="G126" t="inlineStr">
      <is>
        <t>FRAN</t>
      </is>
    </nc>
  </rcc>
  <rcc rId="4633" sId="1">
    <oc r="G137" t="inlineStr">
      <is>
        <t>CARL</t>
      </is>
    </oc>
    <nc r="G137" t="inlineStr">
      <is>
        <t>FRAN</t>
      </is>
    </nc>
  </rcc>
  <rcc rId="4634" sId="1">
    <oc r="G142" t="inlineStr">
      <is>
        <t>CARL</t>
      </is>
    </oc>
    <nc r="G142" t="inlineStr">
      <is>
        <t>FRAN</t>
      </is>
    </nc>
  </rcc>
  <rcc rId="4635" sId="1">
    <oc r="G143" t="inlineStr">
      <is>
        <t>CARL</t>
      </is>
    </oc>
    <nc r="G143" t="inlineStr">
      <is>
        <t>FRAN</t>
      </is>
    </nc>
  </rcc>
  <rcc rId="4636" sId="1" odxf="1" dxf="1">
    <oc r="G189" t="inlineStr">
      <is>
        <t>CARL</t>
      </is>
    </oc>
    <nc r="G189" t="inlineStr">
      <is>
        <t>FRAN</t>
      </is>
    </nc>
    <odxf>
      <font>
        <b val="0"/>
        <sz val="9"/>
        <color auto="1"/>
        <name val="Arial"/>
        <scheme val="none"/>
      </font>
      <fill>
        <patternFill patternType="none">
          <bgColor indexed="65"/>
        </patternFill>
      </fill>
      <alignment horizontal="general" vertical="bottom" wrapText="0" readingOrder="0"/>
      <border outline="0">
        <bottom style="thin">
          <color indexed="64"/>
        </bottom>
      </border>
    </odxf>
    <ndxf>
      <font>
        <b/>
        <sz val="9"/>
        <color auto="1"/>
        <name val="Arial"/>
        <scheme val="none"/>
      </font>
      <fill>
        <patternFill patternType="solid">
          <bgColor rgb="FF00B050"/>
        </patternFill>
      </fill>
      <alignment horizontal="center" vertical="center" wrapText="1" readingOrder="0"/>
      <border outline="0">
        <bottom/>
      </border>
    </ndxf>
  </rcc>
  <rcc rId="4637" sId="1">
    <oc r="G201" t="inlineStr">
      <is>
        <t>CARL</t>
      </is>
    </oc>
    <nc r="G201" t="inlineStr">
      <is>
        <t>FRAN</t>
      </is>
    </nc>
  </rcc>
  <rcc rId="4638" sId="1">
    <oc r="G230" t="inlineStr">
      <is>
        <t>CARL</t>
      </is>
    </oc>
    <nc r="G230" t="inlineStr">
      <is>
        <t>FRAN</t>
      </is>
    </nc>
  </rcc>
  <rcc rId="4639" sId="1" odxf="1" dxf="1">
    <oc r="G254" t="inlineStr">
      <is>
        <t>CARL</t>
      </is>
    </oc>
    <nc r="G254" t="inlineStr">
      <is>
        <t>FRAN</t>
      </is>
    </nc>
    <odxf>
      <fill>
        <patternFill>
          <bgColor theme="0"/>
        </patternFill>
      </fill>
    </odxf>
    <ndxf>
      <fill>
        <patternFill>
          <bgColor rgb="FF00B050"/>
        </patternFill>
      </fill>
    </ndxf>
  </rcc>
  <rcc rId="4640" sId="1">
    <oc r="G291" t="inlineStr">
      <is>
        <t>CARL</t>
      </is>
    </oc>
    <nc r="G291" t="inlineStr">
      <is>
        <t>FRAN</t>
      </is>
    </nc>
  </rcc>
  <rcc rId="4641" sId="1">
    <oc r="G300" t="inlineStr">
      <is>
        <t>CARL</t>
      </is>
    </oc>
    <nc r="G300" t="inlineStr">
      <is>
        <t>FRAN</t>
      </is>
    </nc>
  </rcc>
  <rcc rId="4642" sId="1">
    <oc r="G305" t="inlineStr">
      <is>
        <t>CARL</t>
      </is>
    </oc>
    <nc r="G305" t="inlineStr">
      <is>
        <t>FRAN</t>
      </is>
    </nc>
  </rcc>
  <rcc rId="4643" sId="1">
    <oc r="G306" t="inlineStr">
      <is>
        <t>CARL</t>
      </is>
    </oc>
    <nc r="G306" t="inlineStr">
      <is>
        <t>FRAN</t>
      </is>
    </nc>
  </rcc>
  <rcc rId="4644" sId="1">
    <oc r="G316" t="inlineStr">
      <is>
        <t>CARL</t>
      </is>
    </oc>
    <nc r="G316" t="inlineStr">
      <is>
        <t>FRAN</t>
      </is>
    </nc>
  </rcc>
  <rcc rId="4645" sId="1">
    <oc r="G318" t="inlineStr">
      <is>
        <t>CARL</t>
      </is>
    </oc>
    <nc r="G318" t="inlineStr">
      <is>
        <t>FRAN</t>
      </is>
    </nc>
  </rcc>
  <rcc rId="4646" sId="1">
    <oc r="G324" t="inlineStr">
      <is>
        <t>CARL</t>
      </is>
    </oc>
    <nc r="G324" t="inlineStr">
      <is>
        <t>FRAN</t>
      </is>
    </nc>
  </rcc>
  <rcc rId="4647" sId="1">
    <oc r="G353" t="inlineStr">
      <is>
        <t>CARL</t>
      </is>
    </oc>
    <nc r="G353" t="inlineStr">
      <is>
        <t>FRAN</t>
      </is>
    </nc>
  </rcc>
  <rcc rId="4648" sId="1">
    <oc r="G358" t="inlineStr">
      <is>
        <t>CARL</t>
      </is>
    </oc>
    <nc r="G358" t="inlineStr">
      <is>
        <t>FRAN</t>
      </is>
    </nc>
  </rcc>
  <rcc rId="4649" sId="1">
    <oc r="G368" t="inlineStr">
      <is>
        <t>CARL</t>
      </is>
    </oc>
    <nc r="G368" t="inlineStr">
      <is>
        <t>FRAN</t>
      </is>
    </nc>
  </rcc>
  <rcc rId="4650" sId="1">
    <oc r="G407" t="inlineStr">
      <is>
        <t>CARL</t>
      </is>
    </oc>
    <nc r="G407" t="inlineStr">
      <is>
        <t>FRAN</t>
      </is>
    </nc>
  </rcc>
  <rcc rId="4651" sId="1">
    <oc r="G411" t="inlineStr">
      <is>
        <t>CARL</t>
      </is>
    </oc>
    <nc r="G411" t="inlineStr">
      <is>
        <t>FRAN</t>
      </is>
    </nc>
  </rcc>
  <rcc rId="4652" sId="1">
    <oc r="G413" t="inlineStr">
      <is>
        <t>CARL</t>
      </is>
    </oc>
    <nc r="G413" t="inlineStr">
      <is>
        <t>FRAN</t>
      </is>
    </nc>
  </rcc>
  <rcc rId="4653" sId="1">
    <oc r="G423" t="inlineStr">
      <is>
        <t>CARL</t>
      </is>
    </oc>
    <nc r="G423" t="inlineStr">
      <is>
        <t>FRAN</t>
      </is>
    </nc>
  </rcc>
  <rcc rId="4654" sId="1">
    <nc r="H414" t="inlineStr">
      <is>
        <t>N</t>
      </is>
    </nc>
  </rcc>
  <rcc rId="4655" sId="1">
    <nc r="M414" t="inlineStr">
      <is>
        <t>Folha                        mei
ESTAGIARIO</t>
      </is>
    </nc>
  </rcc>
  <rcc rId="4656" sId="1">
    <oc r="H389" t="inlineStr">
      <is>
        <t>MEI</t>
      </is>
    </oc>
    <nc r="H389" t="inlineStr">
      <is>
        <t>N</t>
      </is>
    </nc>
  </rcc>
  <rcc rId="4657" sId="1">
    <oc r="M389" t="inlineStr">
      <is>
        <t>Pro labore (   )  
INSS (   )
GFIP (   )           MEI INICIO 01.2020</t>
      </is>
    </oc>
    <nc r="M389" t="inlineStr">
      <is>
        <t>Pro labore (   )  
INSS (   )
GFIP (   )           MEI INICIO 01.2020 VERIFICAR NF NO SETOR FISCAL</t>
      </is>
    </nc>
  </rcc>
  <rcc rId="4658" sId="1" odxf="1" dxf="1">
    <oc r="G389" t="inlineStr">
      <is>
        <t>THAI</t>
      </is>
    </oc>
    <nc r="G389" t="inlineStr">
      <is>
        <t>FRAN</t>
      </is>
    </nc>
    <odxf>
      <fill>
        <patternFill>
          <bgColor theme="7"/>
        </patternFill>
      </fill>
    </odxf>
    <ndxf>
      <fill>
        <patternFill>
          <bgColor rgb="FF00B050"/>
        </patternFill>
      </fill>
    </ndxf>
  </rcc>
</revisions>
</file>

<file path=xl/revisions/revisionLog3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59" sId="1">
    <oc r="J3">
      <v>28</v>
    </oc>
    <nc r="J3">
      <v>21</v>
    </nc>
  </rcc>
  <rcc rId="4660" sId="1">
    <oc r="J4">
      <v>2</v>
    </oc>
    <nc r="J4">
      <v>21</v>
    </nc>
  </rcc>
  <rcc rId="4661" sId="1">
    <oc r="J243">
      <v>28</v>
    </oc>
    <nc r="J243">
      <v>21</v>
    </nc>
  </rcc>
  <rcc rId="4662" sId="1">
    <oc r="J335">
      <v>30</v>
    </oc>
    <nc r="J335">
      <v>21</v>
    </nc>
  </rcc>
  <rcc rId="4663" sId="1">
    <oc r="J346">
      <v>28</v>
    </oc>
    <nc r="J346">
      <v>21</v>
    </nc>
  </rcc>
  <rcc rId="4664" sId="1">
    <oc r="H349" t="inlineStr">
      <is>
        <t>N</t>
      </is>
    </oc>
    <nc r="H349" t="inlineStr">
      <is>
        <t>S/M</t>
      </is>
    </nc>
  </rcc>
  <rcc rId="4665" sId="1" odxf="1" dxf="1">
    <oc r="I346">
      <v>0</v>
    </oc>
    <nc r="I346" t="inlineStr">
      <is>
        <t>PRO-LABORE</t>
      </is>
    </nc>
    <odxf>
      <font>
        <sz val="9"/>
        <name val="Arial"/>
        <scheme val="none"/>
      </font>
      <alignment shrinkToFit="0" readingOrder="0"/>
    </odxf>
    <ndxf>
      <font>
        <sz val="9"/>
        <color auto="1"/>
        <name val="Arial"/>
        <scheme val="none"/>
      </font>
      <alignment shrinkToFit="1" readingOrder="0"/>
    </ndxf>
  </rcc>
  <rcc rId="4666" sId="1">
    <oc r="I414">
      <v>1</v>
    </oc>
    <nc r="I414" t="inlineStr">
      <is>
        <t>MEI</t>
      </is>
    </nc>
  </rcc>
  <rcc rId="4667" sId="1">
    <nc r="J414">
      <v>25</v>
    </nc>
  </rcc>
  <rcc rId="4668" sId="1">
    <oc r="H389" t="inlineStr">
      <is>
        <t>N</t>
      </is>
    </oc>
    <nc r="H389" t="inlineStr">
      <is>
        <t>VERIFICAR EMISSA DE NF</t>
      </is>
    </nc>
  </rcc>
  <rcc rId="4669" sId="1">
    <oc r="H360" t="inlineStr">
      <is>
        <t>DOMÉSTICO</t>
      </is>
    </oc>
    <nc r="H360" t="inlineStr">
      <is>
        <t>SAIU/BAIXADO</t>
      </is>
    </nc>
  </rcc>
  <rcc rId="4670" sId="1">
    <oc r="M360" t="inlineStr">
      <is>
        <t xml:space="preserve">Recibo e-social (   )                                     Guia e-social (   )  </t>
      </is>
    </oc>
    <nc r="M360" t="inlineStr">
      <is>
        <t>Recibo e-social (   )                                     Guia e-social (   )  ULTIMO MÊS 05/2020</t>
      </is>
    </nc>
  </rcc>
  <rcc rId="4671" sId="1">
    <oc r="H358" t="inlineStr">
      <is>
        <t>S/M</t>
      </is>
    </oc>
    <nc r="H358" t="inlineStr">
      <is>
        <t>SAIU/BAIXADO</t>
      </is>
    </nc>
  </rcc>
  <rcc rId="4672" sId="1">
    <oc r="M358" t="inlineStr">
      <is>
        <t xml:space="preserve">MEI s/m 08.2019
</t>
      </is>
    </oc>
    <nc r="M358" t="inlineStr">
      <is>
        <r>
          <t xml:space="preserve">MEI s/m 08.2019  </t>
        </r>
        <r>
          <rPr>
            <b/>
            <sz val="9"/>
            <color rgb="FFFF0000"/>
            <rFont val="Arial"/>
            <family val="2"/>
          </rPr>
          <t>SAIU 05/2020</t>
        </r>
        <r>
          <rPr>
            <sz val="9"/>
            <rFont val="Arial"/>
            <family val="2"/>
          </rPr>
          <t xml:space="preserve">
</t>
        </r>
      </is>
    </nc>
  </rcc>
</revisions>
</file>

<file path=xl/revisions/revisionLog3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3" sId="2">
    <oc r="C419" t="inlineStr">
      <is>
        <r>
          <t>ASTRANSP - LOGIN - 07801908000143 SENHA 32151651 FUNCIONÁRIOS COM VT</t>
        </r>
        <r>
          <rPr>
            <sz val="10"/>
            <color rgb="FFFF0000"/>
            <rFont val="Calibri"/>
            <family val="2"/>
          </rPr>
          <t xml:space="preserve"> LEONARDO - 1 POR DIA ( vt DO LEONARDO DESCONTA O VALOR DA RECARGA),  ROBERTO 2 POR DIA, ROMERITO 2 POR DIA, OZEAS 2 POR DIA luiggi 2vt por dia </t>
        </r>
        <r>
          <rPr>
            <sz val="10"/>
            <color rgb="FF444444"/>
            <rFont val="Calibri"/>
            <family val="2"/>
          </rPr>
          <t xml:space="preserve"> /TEM ADIANTAMENTO DE 30%(PARA DIA 15)/ EMPRESA TEM PLANO DE SAÚDE - DESCONTA 20% DA MENSALIDADE INCLUSIVE DOS DEPENDENTES E O VALOR DA COPARTICIPAÇÃO DESCONTA </t>
        </r>
        <r>
          <rPr>
            <sz val="10"/>
            <color rgb="FFFF0000"/>
            <rFont val="Calibri"/>
            <family val="2"/>
          </rPr>
          <t>apenas 50% a partir de 05/2019</t>
        </r>
        <r>
          <rPr>
            <sz val="10"/>
            <color rgb="FF444444"/>
            <rFont val="Calibri"/>
            <family val="2"/>
          </rPr>
          <t>/ PLANO ODODNTOLOGICO NÃO DESCONTA/ALELO 325,00 POR MES - ELES FAZEM RECARGA/INSCRITA NO PAT/TEM UMA PESSOA RESPONSÁVEL POR CONTROLE DE EPIS/ LEONARDO - PENSÃO DE 20% SOBRE O SALÁRIO LIQUIDO, TEM RETENÇÃO DE INSS SOBRE AS NOTAS FISCAIS QUE DEVEM SER COMPENSADAS NA GFIP, O CONTROLE DE RETENÇÃO ESTÁ EM: P:\documentos\OneDrive - Novus Contabilidade\Doc Compartilhado\Escritório\CH Vidon\PROCESSOS CH VIDON\PROCESSOS DE INSS\COMPENSAÇÃO DE RETENÇÃO NFSE  ( COMPENSAR APENAS O VALOR DA GUIA, O VALOR RESTANTE SERÁ PEDIDO PERD COMP PELO CONTABIL)(JANAINA VAI CONFIRMAR SE OS VALORES A COMPENSAR QUE VIERÃO DO OUTRO CONTADOR ESTÃO CORRETOS E SE ESSES VALORES PODEM SER COMPENSADOS EM OUTROS IMPOSTOS ALÉM DO INSS.)</t>
        </r>
        <r>
          <rPr>
            <sz val="10"/>
            <color rgb="FFFF0000"/>
            <rFont val="Calibri"/>
            <family val="2"/>
          </rPr>
          <t xml:space="preserve"> A cada 5 anos de casa reajustar em 5 %. Não incide inss no 1/3 de férias, funcionários são alocados nos serviços pedir a Ana a planilha de alocação.</t>
        </r>
        <r>
          <rPr>
            <sz val="10"/>
            <rFont val="Calibri"/>
            <family val="2"/>
          </rPr>
          <t>ALGUNS FUNCIONARIOS ESTÃO COM PARCELAMENTO ATÉ MARCO DO PLANO DE SAUDE.</t>
        </r>
      </is>
    </oc>
    <nc r="C419" t="inlineStr">
      <is>
        <r>
          <t>ASTRANSP - LOGIN - 07801908000143 SENHA 32151651 FUNCIONÁRIOS COM VT</t>
        </r>
        <r>
          <rPr>
            <sz val="10"/>
            <color rgb="FFFF0000"/>
            <rFont val="Calibri"/>
            <family val="2"/>
          </rPr>
          <t xml:space="preserve"> LEONARDO - 1 POR DIA ( vt DO LEONARDO DESCONTA O VALOR DA RECARGA),  ROBERTO 2 POR DIA, ROMERITO 2 POR DIA, OZEAS 2 POR DIA luiggi 2vt por dia </t>
        </r>
        <r>
          <rPr>
            <sz val="10"/>
            <color rgb="FF444444"/>
            <rFont val="Calibri"/>
            <family val="2"/>
          </rPr>
          <t xml:space="preserve"> /TEM ADIANTAMENTO DE 30%(PARA DIA 15)/ EMPRESA TEM PLANO DE SAÚDE - DESCONTA 20% DA MENSALIDADE INCLUSIVE DOS DEPENDENTES E O VALOR DA COPARTICIPAÇÃO DESCONTA </t>
        </r>
        <r>
          <rPr>
            <sz val="10"/>
            <color rgb="FFFF0000"/>
            <rFont val="Calibri"/>
            <family val="2"/>
          </rPr>
          <t>apenas 50% a partir de 05/2019</t>
        </r>
        <r>
          <rPr>
            <sz val="10"/>
            <color rgb="FF444444"/>
            <rFont val="Calibri"/>
            <family val="2"/>
          </rPr>
          <t>/ PLANO ODODNTOLOGICO NÃO DESCONTA/ALELO 325,00 POR MES - ELES FAZEM RECARGA/INSCRITA NO PAT/TEM UMA PESSOA RESPONSÁVEL POR CONTROLE DE EPIS/ LEONARDO - PENSÃO DE 20% SOBRE O SALÁRIO LIQUIDO, TEM RETENÇÃO DE INSS SOBRE AS NOTAS FISCAIS QUE DEVEM SER COMPENSADAS NA GFIP, O CONTROLE DE RETENÇÃO ESTÁ EM: P:\documentos\OneDrive - Novus Contabilidade\Doc Compartilhado\Escritório\CH Vidon\PROCESSOS CH VIDON\PROCESSOS DE INSS\COMPENSAÇÃO DE RETENÇÃO NFSE  ( COMPENSAR APENAS O VALOR DA GUIA, O VALOR RESTANTE SERÁ PEDIDO PERD COMP PELO CONTABIL)(JANAINA VAI CONFIRMAR SE OS VALORES A COMPENSAR QUE VIERÃO DO OUTRO CONTADOR ESTÃO CORRETOS E SE ESSES VALORES PODEM SER COMPENSADOS EM OUTROS IMPOSTOS ALÉM DO INSS.)</t>
        </r>
        <r>
          <rPr>
            <sz val="10"/>
            <color rgb="FFFF0000"/>
            <rFont val="Calibri"/>
            <family val="2"/>
          </rPr>
          <t xml:space="preserve"> A cada 5 anos de casa reajustar em 5 %. Não incide inss no 1/3 de férias, funcionários são alocados nos serviços pedir a Ana a planilha de alocação.</t>
        </r>
        <r>
          <rPr>
            <sz val="10"/>
            <rFont val="Calibri"/>
            <family val="2"/>
          </rPr>
          <t>ALGUNS FUNCIONARIOS ESTÃO COM PARCELAMENTO ATÉ MARCO DO PLANO DE SAUDE.NÃO FAZ EXAME DE TROCA DE FUNÇÃO DEVIDO NR,SÓ SE TIVER OUTROS RISCOS.</t>
        </r>
      </is>
    </nc>
  </rcc>
</revisions>
</file>

<file path=xl/revisions/revisionLog3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4" sId="1">
    <oc r="H57" t="inlineStr">
      <is>
        <t>S/M</t>
      </is>
    </oc>
    <nc r="H57" t="inlineStr">
      <is>
        <t>N</t>
      </is>
    </nc>
  </rcc>
  <rcc rId="4675" sId="1">
    <oc r="M57" t="inlineStr">
      <is>
        <t>Paralisada</t>
      </is>
    </oc>
    <nc r="M57" t="inlineStr">
      <is>
        <t>Paralisada - vai voltar a movimentar 05/2020 (conferir)</t>
      </is>
    </nc>
  </rcc>
  <rcv guid="{DFB7C661-5C1D-4491-B5BB-D24125818F62}" action="delete"/>
  <rdn rId="0" localSheetId="2" customView="1" name="Z_DFB7C661_5C1D_4491_B5BB_D24125818F62_.wvu.FilterData" hidden="1" oldHidden="1">
    <formula>Particularidade!$A$1:$D$244</formula>
    <oldFormula>Particularidade!$A$1:$D$244</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Empresas'!$A$1:$N$424</formula>
    <oldFormula>'Controle Empresas'!$A$1:$N$424</oldFormula>
  </rdn>
  <rcv guid="{DFB7C661-5C1D-4491-B5BB-D24125818F62}" action="add"/>
</revisions>
</file>

<file path=xl/revisions/revisionLog3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9" sId="1">
    <nc r="D414" t="inlineStr">
      <is>
        <t>32.513.416/0001-08</t>
      </is>
    </nc>
  </rcc>
</revisions>
</file>

<file path=xl/revisions/revisionLog3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80" sId="1" xfDxf="1" dxf="1">
    <oc r="M163" t="inlineStr">
      <is>
        <t>d</t>
      </is>
    </oc>
    <nc r="M163" t="inlineStr">
      <is>
        <t>SOLICITAR OS VALORES DO PLANO DE SAÚDE</t>
      </is>
    </nc>
    <ndxf>
      <font>
        <sz val="9"/>
        <color auto="1"/>
        <name val="Arial"/>
        <scheme val="none"/>
      </font>
      <alignment horizontal="left" vertical="center" wrapText="1" readingOrder="0"/>
      <border outline="0">
        <left style="thin">
          <color indexed="64"/>
        </left>
        <right style="thin">
          <color indexed="64"/>
        </right>
        <top style="thin">
          <color indexed="64"/>
        </top>
        <bottom style="thin">
          <color indexed="64"/>
        </bottom>
      </border>
    </ndxf>
  </rcc>
</revisions>
</file>

<file path=xl/revisions/revisionLog3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81" sId="1">
    <oc r="M386" t="inlineStr">
      <is>
        <t>Pro labore (   )  
INSS (   )
GFIP (   )                 Inicio 12/2019  verificar faturamento anexo IV - Fator R</t>
      </is>
    </oc>
    <nc r="M386" t="inlineStr">
      <is>
        <t xml:space="preserve">Pro labore (   )  
INSS (   )
GFIP (   )                 Inicio 12/2019  </t>
      </is>
    </nc>
  </rcc>
</revisions>
</file>

<file path=xl/revisions/revisionLog3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82" sId="1">
    <oc r="M244" t="inlineStr">
      <is>
        <r>
          <t>Pro labore (   )
INSS (   )
GFIP (   )</t>
        </r>
        <r>
          <rPr>
            <sz val="9"/>
            <color rgb="FFFF0000"/>
            <rFont val="Arial"/>
            <family val="2"/>
          </rPr>
          <t xml:space="preserve">         </t>
        </r>
        <r>
          <rPr>
            <sz val="9"/>
            <rFont val="Arial"/>
            <family val="2"/>
          </rPr>
          <t xml:space="preserve">(    )  IRRF                                                                                                             </t>
        </r>
      </is>
    </oc>
    <nc r="M244" t="inlineStr">
      <is>
        <r>
          <t>Pro labore (   )
INSS (   )
GFIP (   )</t>
        </r>
        <r>
          <rPr>
            <sz val="9"/>
            <color rgb="FFFF0000"/>
            <rFont val="Arial"/>
            <family val="2"/>
          </rPr>
          <t xml:space="preserve">         </t>
        </r>
        <r>
          <rPr>
            <sz val="9"/>
            <rFont val="Arial"/>
            <family val="2"/>
          </rPr>
          <t xml:space="preserve">(    )  IRRF                                       </t>
        </r>
        <r>
          <rPr>
            <b/>
            <sz val="9"/>
            <color rgb="FFFF0000"/>
            <rFont val="Arial"/>
            <family val="2"/>
          </rPr>
          <t xml:space="preserve"> BLOQUEADA </t>
        </r>
        <r>
          <rPr>
            <sz val="9"/>
            <color rgb="FFFF0000"/>
            <rFont val="Arial"/>
            <family val="2"/>
          </rPr>
          <t xml:space="preserve">    </t>
        </r>
        <r>
          <rPr>
            <sz val="9"/>
            <rFont val="Arial"/>
            <family val="2"/>
          </rPr>
          <t xml:space="preserve">                                                                </t>
        </r>
      </is>
    </nc>
  </rcc>
  <rcc rId="4683" sId="1">
    <oc r="M270" t="inlineStr">
      <is>
        <t xml:space="preserve">Pro labore (   )
INSS (   )
GFIP (   )     </t>
      </is>
    </oc>
    <nc r="M270" t="inlineStr">
      <is>
        <r>
          <t xml:space="preserve">Pro labore (   )
INSS (   )
GFIP (   )                                              </t>
        </r>
        <r>
          <rPr>
            <b/>
            <sz val="9"/>
            <color rgb="FFFF0000"/>
            <rFont val="Arial"/>
            <family val="2"/>
          </rPr>
          <t xml:space="preserve">BLOQUEADA </t>
        </r>
      </is>
    </nc>
  </rcc>
  <rcc rId="4684" sId="1">
    <oc r="M134" t="inlineStr">
      <is>
        <t xml:space="preserve">Pro labore (   )
INSS (   ) 
GFIP (   )                                                                                               </t>
      </is>
    </oc>
    <nc r="M134" t="inlineStr">
      <is>
        <r>
          <t xml:space="preserve">Pro labore (   )
INSS (   ) 
GFIP (   )                                                                  </t>
        </r>
        <r>
          <rPr>
            <b/>
            <sz val="9"/>
            <color rgb="FFFF0000"/>
            <rFont val="Arial"/>
            <family val="2"/>
          </rPr>
          <t>BLOQUEADA</t>
        </r>
        <r>
          <rPr>
            <sz val="9"/>
            <rFont val="Arial"/>
            <family val="2"/>
          </rPr>
          <t xml:space="preserve">                         </t>
        </r>
      </is>
    </nc>
  </rcc>
  <rcc rId="4685" sId="1">
    <oc r="M392" t="inlineStr">
      <is>
        <t>Pro labore (   )  
INSS (   )
GFIP (   )           INICIO 12.2019 S/M</t>
      </is>
    </oc>
    <nc r="M392" t="inlineStr">
      <is>
        <r>
          <t xml:space="preserve">Pro labore (   )  
INSS (   )
GFIP (   )           INICIO 12.2019 S/M                           </t>
        </r>
        <r>
          <rPr>
            <b/>
            <sz val="9"/>
            <color rgb="FFFF0000"/>
            <rFont val="Arial"/>
            <family val="2"/>
          </rPr>
          <t>BLOQUEADA</t>
        </r>
        <r>
          <rPr>
            <sz val="9"/>
            <rFont val="Arial"/>
            <family val="2"/>
          </rPr>
          <t xml:space="preserve"> </t>
        </r>
      </is>
    </nc>
  </rcc>
  <rcc rId="4686" sId="1">
    <oc r="M342" t="inlineStr">
      <is>
        <r>
          <t xml:space="preserve">Pro labore (   )
INSS (   ) 
GFIP (   )                                                   </t>
        </r>
        <r>
          <rPr>
            <b/>
            <sz val="9"/>
            <color rgb="FFFF0000"/>
            <rFont val="Arial"/>
            <family val="2"/>
          </rPr>
          <t xml:space="preserve"> </t>
        </r>
      </is>
    </oc>
    <nc r="M342" t="inlineStr">
      <is>
        <r>
          <t xml:space="preserve">Pro labore (   )
INSS (   ) 
GFIP (   )                                                   </t>
        </r>
        <r>
          <rPr>
            <b/>
            <sz val="9"/>
            <color rgb="FFFF0000"/>
            <rFont val="Arial"/>
            <family val="2"/>
          </rPr>
          <t xml:space="preserve"> BLOQUEADA </t>
        </r>
      </is>
    </nc>
  </rcc>
  <rcc rId="4687" sId="1">
    <oc r="M269" t="inlineStr">
      <is>
        <t>Pro labore (   )
INSS (   )
GFIP (   )     (  ) IRRF</t>
      </is>
    </oc>
    <nc r="M269" t="inlineStr">
      <is>
        <r>
          <t xml:space="preserve">Pro labore (   )
INSS (   )
GFIP (   )     (  ) IRRF                                  </t>
        </r>
        <r>
          <rPr>
            <b/>
            <sz val="9"/>
            <color rgb="FFFF0000"/>
            <rFont val="Arial"/>
            <family val="2"/>
          </rPr>
          <t>BLOQUEADA</t>
        </r>
        <r>
          <rPr>
            <sz val="9"/>
            <rFont val="Arial"/>
            <family val="2"/>
          </rPr>
          <t xml:space="preserve"> </t>
        </r>
      </is>
    </nc>
  </rcc>
  <rcc rId="4688" sId="1">
    <oc r="M59" t="inlineStr">
      <is>
        <t>Pro labore (   )
INSS (   )
GFIP (   )</t>
      </is>
    </oc>
    <nc r="M59" t="inlineStr">
      <is>
        <r>
          <t xml:space="preserve">Pro labore (   )
INSS (   )
GFIP (   )                                            </t>
        </r>
        <r>
          <rPr>
            <b/>
            <sz val="9"/>
            <color rgb="FFFF0000"/>
            <rFont val="Arial"/>
            <family val="2"/>
          </rPr>
          <t>BLOQUEADA</t>
        </r>
        <r>
          <rPr>
            <sz val="9"/>
            <rFont val="Arial"/>
            <family val="2"/>
          </rPr>
          <t xml:space="preserve"> </t>
        </r>
      </is>
    </nc>
  </rcc>
  <rcc rId="4689" sId="1">
    <oc r="M31" t="inlineStr">
      <is>
        <r>
          <t>Pro labore (   )
INSS (   ) lançar codigo 202 - plano de saude
GFIP (   )</t>
        </r>
        <r>
          <rPr>
            <sz val="9"/>
            <color rgb="FFFF0000"/>
            <rFont val="Arial"/>
            <family val="2"/>
          </rPr>
          <t xml:space="preserve"> Tem Plano de saude.Login nas particularidades</t>
        </r>
      </is>
    </oc>
    <nc r="M31" t="inlineStr">
      <is>
        <r>
          <t>Pro labore (   )
INSS (   ) lançar codigo 202 - plano de saude
GFIP (   )</t>
        </r>
        <r>
          <rPr>
            <sz val="9"/>
            <color rgb="FFFF0000"/>
            <rFont val="Arial"/>
            <family val="2"/>
          </rPr>
          <t xml:space="preserve"> Tem Plano de saude.Login nas particularidades   </t>
        </r>
        <r>
          <rPr>
            <b/>
            <sz val="9"/>
            <color rgb="FFFF0000"/>
            <rFont val="Arial"/>
            <family val="2"/>
          </rPr>
          <t>BLOQUEADA</t>
        </r>
        <r>
          <rPr>
            <sz val="9"/>
            <color rgb="FFFF0000"/>
            <rFont val="Arial"/>
            <family val="2"/>
          </rPr>
          <t xml:space="preserve"> </t>
        </r>
      </is>
    </nc>
  </rcc>
  <rcc rId="4690" sId="1">
    <oc r="M125" t="inlineStr">
      <is>
        <t>Pro labore (   )
INSS (   )
GFIP (   )</t>
      </is>
    </oc>
    <nc r="M125" t="inlineStr">
      <is>
        <r>
          <t xml:space="preserve">Pro labore (   )
INSS (   )
GFIP (   )                                    </t>
        </r>
        <r>
          <rPr>
            <b/>
            <sz val="9"/>
            <color rgb="FFFF0000"/>
            <rFont val="Arial"/>
            <family val="2"/>
          </rPr>
          <t>BLOQUEADA</t>
        </r>
        <r>
          <rPr>
            <sz val="9"/>
            <rFont val="Arial"/>
            <family val="2"/>
          </rPr>
          <t xml:space="preserve"> </t>
        </r>
      </is>
    </nc>
  </rcc>
  <rcc rId="4691" sId="1">
    <oc r="M19" t="inlineStr">
      <is>
        <r>
          <t>Pro labore (   )
INSS (   )
GFIP (   )</t>
        </r>
        <r>
          <rPr>
            <sz val="9"/>
            <color rgb="FFFF0000"/>
            <rFont val="Arial"/>
            <family val="2"/>
          </rPr>
          <t xml:space="preserve"> </t>
        </r>
      </is>
    </oc>
    <nc r="M19" t="inlineStr">
      <is>
        <r>
          <t>Pro labore (   )
INSS (   )
GFIP (   )</t>
        </r>
        <r>
          <rPr>
            <sz val="9"/>
            <color rgb="FFFF0000"/>
            <rFont val="Arial"/>
            <family val="2"/>
          </rPr>
          <t xml:space="preserve">                                    </t>
        </r>
        <r>
          <rPr>
            <b/>
            <sz val="9"/>
            <color rgb="FFFF0000"/>
            <rFont val="Arial"/>
            <family val="2"/>
          </rPr>
          <t>BLOQUEADA</t>
        </r>
        <r>
          <rPr>
            <sz val="9"/>
            <color rgb="FFFF0000"/>
            <rFont val="Arial"/>
            <family val="2"/>
          </rPr>
          <t xml:space="preserve"> </t>
        </r>
      </is>
    </nc>
  </rcc>
</revisions>
</file>

<file path=xl/revisions/revisionLog3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92" sId="1">
    <oc r="M163" t="inlineStr">
      <is>
        <t>SOLICITAR OS VALORES DO PLANO DE SAÚDE</t>
      </is>
    </oc>
    <nc r="M163" t="inlineStr">
      <is>
        <r>
          <t xml:space="preserve">SOLICITAR OS VALORES DO PLANO DE SAÚDE  </t>
        </r>
        <r>
          <rPr>
            <b/>
            <sz val="9"/>
            <color rgb="FFFF0000"/>
            <rFont val="Arial"/>
            <family val="2"/>
          </rPr>
          <t xml:space="preserve">AGUARDANDO PLANO </t>
        </r>
      </is>
    </nc>
  </rcc>
</revisions>
</file>

<file path=xl/revisions/revisionLog3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93" sId="1">
    <oc r="H402" t="inlineStr">
      <is>
        <t>n</t>
      </is>
    </oc>
    <nc r="H402" t="inlineStr">
      <is>
        <t>N</t>
      </is>
    </nc>
  </rcc>
  <rcc rId="4694" sId="1">
    <oc r="H128" t="inlineStr">
      <is>
        <t>S</t>
      </is>
    </oc>
    <nc r="H128" t="inlineStr">
      <is>
        <t>SAIU/BAIXADO</t>
      </is>
    </nc>
  </rcc>
  <rcc rId="4695" sId="1">
    <oc r="M128" t="inlineStr">
      <is>
        <t xml:space="preserve">
Folha e Pro labore (   )
INSS (   )
FGTS e GFIP (   )
Vale Transporte (   )
Recibo Astransp (   )
Tem alimentação postar relação; Add tempo de serviço; e entregar a folha até 27</t>
      </is>
    </oc>
    <nc r="M128" t="inlineStr">
      <is>
        <r>
          <t xml:space="preserve">
Folha e Pro labore (   )
INSS (   ) </t>
        </r>
        <r>
          <rPr>
            <sz val="9"/>
            <color rgb="FFFF0000"/>
            <rFont val="Arial"/>
            <family val="2"/>
          </rPr>
          <t>SAIU 04.2020</t>
        </r>
        <r>
          <rPr>
            <sz val="9"/>
            <rFont val="Arial"/>
            <family val="2"/>
          </rPr>
          <t xml:space="preserve">
FGTS e GFIP (   )
Vale Transporte (   )
Recibo Astransp (   )
Tem alimentação postar relação; Add tempo de serviço; e entregar a folha até 27</t>
        </r>
      </is>
    </nc>
  </rcc>
  <rcc rId="4696" sId="1">
    <oc r="H345" t="inlineStr">
      <is>
        <t>N</t>
      </is>
    </oc>
    <nc r="H345" t="inlineStr">
      <is>
        <t>S</t>
      </is>
    </nc>
  </rcc>
  <rcc rId="4697" sId="1">
    <oc r="G345" t="inlineStr">
      <is>
        <t>FRAN</t>
      </is>
    </oc>
    <nc r="G345" t="inlineStr">
      <is>
        <t>IASK</t>
      </is>
    </nc>
  </rcc>
  <rcc rId="4698" sId="1">
    <oc r="I345" t="inlineStr">
      <is>
        <t>PRO-LABORE</t>
      </is>
    </oc>
    <nc r="I345">
      <v>2</v>
    </nc>
  </rcc>
  <rcc rId="4699" sId="1">
    <oc r="J345">
      <v>21</v>
    </oc>
    <nc r="J345">
      <v>28</v>
    </nc>
  </rcc>
</revisions>
</file>

<file path=xl/revisions/revisionLog3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C442" start="0" length="0">
    <dxf>
      <numFmt numFmtId="19" formatCode="dd/mm/yyyy"/>
    </dxf>
  </rfmt>
  <rfmt sheetId="1" sqref="C443" start="0" length="0">
    <dxf>
      <numFmt numFmtId="19" formatCode="dd/mm/yyyy"/>
    </dxf>
  </rfmt>
  <rfmt sheetId="1" sqref="C444" start="0" length="0">
    <dxf>
      <numFmt numFmtId="19" formatCode="dd/mm/yyyy"/>
    </dxf>
  </rfmt>
  <rfmt sheetId="1" sqref="C445" start="0" length="0">
    <dxf>
      <numFmt numFmtId="19" formatCode="dd/mm/yyyy"/>
    </dxf>
  </rfmt>
  <rfmt sheetId="1" sqref="C446" start="0" length="0">
    <dxf>
      <numFmt numFmtId="19" formatCode="dd/mm/yyyy"/>
    </dxf>
  </rfmt>
  <rfmt sheetId="1" sqref="C447" start="0" length="0">
    <dxf>
      <numFmt numFmtId="19" formatCode="dd/mm/yyyy"/>
    </dxf>
  </rfmt>
  <rfmt sheetId="1" sqref="C448" start="0" length="0">
    <dxf>
      <numFmt numFmtId="19" formatCode="dd/mm/yyyy"/>
    </dxf>
  </rfmt>
  <rfmt sheetId="1" sqref="C449" start="0" length="0">
    <dxf>
      <numFmt numFmtId="19" formatCode="dd/mm/yyyy"/>
    </dxf>
  </rfmt>
  <rfmt sheetId="1" sqref="C450" start="0" length="0">
    <dxf>
      <numFmt numFmtId="19" formatCode="dd/mm/yyyy"/>
    </dxf>
  </rfmt>
  <rfmt sheetId="1" sqref="C451" start="0" length="0">
    <dxf>
      <numFmt numFmtId="19" formatCode="dd/mm/yyyy"/>
    </dxf>
  </rfmt>
  <rfmt sheetId="1" sqref="C452" start="0" length="0">
    <dxf>
      <numFmt numFmtId="19" formatCode="dd/mm/yyyy"/>
    </dxf>
  </rfmt>
  <rfmt sheetId="1" sqref="C453" start="0" length="0">
    <dxf>
      <numFmt numFmtId="19" formatCode="dd/mm/yyyy"/>
    </dxf>
  </rfmt>
  <rfmt sheetId="1" sqref="C454" start="0" length="0">
    <dxf>
      <numFmt numFmtId="19" formatCode="dd/mm/yyyy"/>
    </dxf>
  </rfmt>
  <rfmt sheetId="1" sqref="C455" start="0" length="0">
    <dxf>
      <numFmt numFmtId="19" formatCode="dd/mm/yyyy"/>
    </dxf>
  </rfmt>
</revisions>
</file>

<file path=xl/revisions/revisionLog3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345" start="0" length="0">
    <dxf>
      <font>
        <b val="0"/>
        <sz val="9"/>
        <color auto="1"/>
        <name val="Arial"/>
        <scheme val="none"/>
      </font>
      <fill>
        <patternFill>
          <bgColor rgb="FFCC3399"/>
        </patternFill>
      </fill>
      <border outline="0">
        <bottom style="thin">
          <color indexed="64"/>
        </bottom>
      </border>
    </dxf>
  </rfmt>
</revisions>
</file>

<file path=xl/revisions/revisionLog3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00" sId="1">
    <oc r="H389" t="inlineStr">
      <is>
        <t>VERIFICAR EMISSA DE NF</t>
      </is>
    </oc>
    <nc r="H389" t="inlineStr">
      <is>
        <t>SAIU</t>
      </is>
    </nc>
  </rcc>
  <rcv guid="{DFB7C661-5C1D-4491-B5BB-D24125818F62}" action="delete"/>
  <rdn rId="0" localSheetId="2" customView="1" name="Z_DFB7C661_5C1D_4491_B5BB_D24125818F62_.wvu.FilterData" hidden="1" oldHidden="1">
    <formula>Particularidade!$A$1:$D$244</formula>
    <oldFormula>Particularidade!$A$1:$D$244</oldFormula>
  </rdn>
  <rdn rId="0" localSheetId="1" customView="1" name="Z_DFB7C661_5C1D_4491_B5BB_D24125818F62_.wvu.Cols" hidden="1" oldHidden="1">
    <formula>'Controle Empresas'!$C:$F</formula>
    <oldFormula>'Controle Empresas'!$C:$F</oldFormula>
  </rdn>
  <rdn rId="0" localSheetId="1" customView="1" name="Z_DFB7C661_5C1D_4491_B5BB_D24125818F62_.wvu.FilterData" hidden="1" oldHidden="1">
    <formula>'Controle Empresas'!$A$1:$N$424</formula>
    <oldFormula>'Controle Empresas'!$A$1:$N$424</oldFormula>
  </rdn>
  <rcv guid="{DFB7C661-5C1D-4491-B5BB-D24125818F62}" action="add"/>
</revisions>
</file>

<file path=xl/revisions/revisionLog3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7B976439_AAC9_41C3_BCF0_6D93775196CD_.wvu.FilterData" hidden="1" oldHidden="1">
    <formula>'Controle Empresas'!$A$1:$N$424</formula>
  </rdn>
  <rdn rId="0" localSheetId="2" customView="1" name="Z_7B976439_AAC9_41C3_BCF0_6D93775196CD_.wvu.FilterData" hidden="1" oldHidden="1">
    <formula>Particularidade!$A$1:$D$244</formula>
  </rdn>
  <rcv guid="{7B976439-AAC9-41C3-BCF0-6D93775196CD}"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30">
  <userInfo guid="{52417942-70E5-4E63-B5C8-DB7433903F00}" name="Thaiany Antunes" id="-1952073917" dateTime="2020-03-02T08:09:56"/>
  <userInfo guid="{2F51990C-6A7A-4795-977D-73AE7272D155}" name="Thaiany Antunes" id="-1952070533" dateTime="2020-03-03T14:23:55"/>
  <userInfo guid="{B0324060-7724-4CBB-A3CD-3C80553ACE5C}" name="Iaskara Paulino" id="-1508878753" dateTime="2020-03-04T08:29:13"/>
  <userInfo guid="{832E393B-6424-4B70-BF04-BA6C69703B97}" name="Carlos Henrique" id="-1854023585" dateTime="2020-03-06T14:31:35"/>
  <userInfo guid="{4774E672-8230-4F53-A489-703B6E9ADCFA}" name="Marcela Mendes" id="-1812753408" dateTime="2020-03-09T17:38:31"/>
  <userInfo guid="{A51677D3-C2AC-4369-B18F-ED06E3DB5E60}" name="Fabienia Paula" id="-1874040658" dateTime="2020-03-11T15:35:21"/>
  <userInfo guid="{210F07A7-26E6-4BA2-AA5F-98668B8AF233}" name="Iaskara Paulino" id="-1508844515" dateTime="2020-03-17T17:33:48"/>
  <userInfo guid="{B8CE1094-EB30-4AC3-8E85-3B1C115103AE}" name="Sullaine Nascimento" id="-360465314" dateTime="2020-03-26T20:55:36"/>
  <userInfo guid="{3DA8E01F-298E-46E2-8D63-5AC3A7FEEC2A}" name="Thaiany Antunes" id="-1952103227" dateTime="2020-03-27T08:11:00"/>
  <userInfo guid="{B8CE1094-EB30-4AC3-8E85-3B1C115103AE}" name="Carlos Henrique" id="-1854021108" dateTime="2020-03-27T08:32:53"/>
  <userInfo guid="{2DD06E9C-50F6-460C-A191-29497E72FB42}" name="Thaiany Antunes" id="-1952099803" dateTime="2020-03-27T14:53:52"/>
  <userInfo guid="{0AE83695-EF13-444D-AF05-429B958853CA}" name="Iaskara Paulino" id="-1508877649" dateTime="2020-04-01T10:19:10"/>
  <userInfo guid="{2B6C0D30-9645-426A-BC63-8FB31F1EA508}" name="Fabienia Paula" id="-1874020466" dateTime="2020-04-06T08:00:32"/>
  <userInfo guid="{A71AA14D-7FA9-4A38-853C-97DC83C65001}" name="Carlos Henrique" id="-1854041854" dateTime="2020-04-13T10:19:52"/>
  <userInfo guid="{9CA6F822-3E7F-42B3-9429-4BF5D5F9C085}" name="Natalia Gerheim" id="-1478164906" dateTime="2020-04-16T14:31:43"/>
  <userInfo guid="{92BEB301-0C07-46EB-829A-F1C37E364931}" name="Thaiany Antunes" id="-1952107063" dateTime="2020-04-17T08:16:50"/>
  <userInfo guid="{92BEB301-0C07-46EB-829A-F1C37E364931}" name="Thaiany Antunes" id="-1952097366" dateTime="2020-04-17T11:32:51"/>
  <userInfo guid="{F5E82B2C-4E79-49B1-963B-425D77E9F46F}" name="Natalia Gerheim" id="-1478186822" dateTime="2020-04-20T14:05:31"/>
  <userInfo guid="{C458A283-E16A-48B6-A878-67A307875FDF}" name="Marcela Mendes" id="-1812751627" dateTime="2020-04-22T08:34:30"/>
  <userInfo guid="{4336F757-DF65-45AB-8D0B-B59D4BDA459A}" name="Marcela Mendes" id="-1812749219" dateTime="2020-04-27T08:27:30"/>
  <userInfo guid="{AE982C42-3E9C-4B13-86B1-D0E31561921A}" name="Marcela Mendes" id="-1812785481" dateTime="2020-04-27T13:49:52"/>
  <userInfo guid="{AE982C42-3E9C-4B13-86B1-D0E31561921A}" name="Carlos Henrique" id="-1854039822" dateTime="2020-04-28T08:12:17"/>
  <userInfo guid="{4C75FCEF-E93B-46A2-A69C-2DF3124E73BB}" name="Carlos Henrique" id="-1854068355" dateTime="2020-04-29T08:06:38"/>
  <userInfo guid="{CEED0789-FF7F-4BC5-BDFE-94D93D19A45B}" name="Thaiany Antunes" id="-1952060442" dateTime="2020-04-30T09:19:31"/>
  <userInfo guid="{5F351352-8EA1-4921-8243-725D3D4056A8}" name="Thaiany Antunes" id="-1952100135" dateTime="2020-05-13T08:13:35"/>
  <userInfo guid="{5550A965-D3E6-4A83-AD9B-564B84F86402}" name="Natalia Gerheim" id="-1478169539" dateTime="2020-05-18T09:09:30"/>
  <userInfo guid="{84FE2C60-B2E3-48CB-B204-8A1BE7D56D1B}" name="Thaiany Antunes" id="-1952096540" dateTime="2020-05-18T11:50:15"/>
  <userInfo guid="{95CAD613-4B10-4C47-95D3-97518274743F}" name="Fabienia Paula" id="-1874045697" dateTime="2020-05-21T08:08:29"/>
  <userInfo guid="{C3ECEC30-B160-43E5-A427-A690EDC889B3}" name="Fabienia Paula" id="-1874042339" dateTime="2020-05-22T08:10:28"/>
  <userInfo guid="{4D5225E1-E7B5-47E9-8F61-271B279925F7}" name="Thaiany Antunes" id="-1952069679" dateTime="2020-05-22T10:09:45"/>
</us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microsoft.com/office/2006/relationships/wsSortMap" Target="wsSortMap1.xml"/><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10" Type="http://schemas.openxmlformats.org/officeDocument/2006/relationships/printerSettings" Target="../printerSettings/printerSettings20.bin"/><Relationship Id="rId4" Type="http://schemas.openxmlformats.org/officeDocument/2006/relationships/printerSettings" Target="../printerSettings/printerSettings14.bin"/><Relationship Id="rId9" Type="http://schemas.openxmlformats.org/officeDocument/2006/relationships/printerSettings" Target="../printerSettings/printerSettings1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10" Type="http://schemas.openxmlformats.org/officeDocument/2006/relationships/printerSettings" Target="../printerSettings/printerSettings36.bin"/><Relationship Id="rId4" Type="http://schemas.openxmlformats.org/officeDocument/2006/relationships/printerSettings" Target="../printerSettings/printerSettings30.bin"/><Relationship Id="rId9" Type="http://schemas.openxmlformats.org/officeDocument/2006/relationships/printerSettings" Target="../printerSettings/printerSettings35.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44.bin"/><Relationship Id="rId3" Type="http://schemas.openxmlformats.org/officeDocument/2006/relationships/printerSettings" Target="../printerSettings/printerSettings39.bin"/><Relationship Id="rId7" Type="http://schemas.openxmlformats.org/officeDocument/2006/relationships/printerSettings" Target="../printerSettings/printerSettings43.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5" Type="http://schemas.openxmlformats.org/officeDocument/2006/relationships/printerSettings" Target="../printerSettings/printerSettings41.bin"/><Relationship Id="rId10" Type="http://schemas.openxmlformats.org/officeDocument/2006/relationships/printerSettings" Target="../printerSettings/printerSettings46.bin"/><Relationship Id="rId4" Type="http://schemas.openxmlformats.org/officeDocument/2006/relationships/printerSettings" Target="../printerSettings/printerSettings40.bin"/><Relationship Id="rId9"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tabColor rgb="FFFF0000"/>
  </sheetPr>
  <dimension ref="A1:U455"/>
  <sheetViews>
    <sheetView tabSelected="1" zoomScale="85" zoomScaleNormal="85" workbookViewId="0">
      <selection activeCell="G3" sqref="G3"/>
    </sheetView>
  </sheetViews>
  <sheetFormatPr defaultColWidth="9.140625" defaultRowHeight="12" x14ac:dyDescent="0.2"/>
  <cols>
    <col min="1" max="1" width="10.85546875" style="167" customWidth="1"/>
    <col min="2" max="2" width="44.7109375" style="168" customWidth="1"/>
    <col min="3" max="3" width="15.85546875" style="87" customWidth="1"/>
    <col min="4" max="4" width="23.42578125" style="87" customWidth="1"/>
    <col min="5" max="5" width="17.28515625" style="87" customWidth="1"/>
    <col min="6" max="6" width="17" style="87" customWidth="1"/>
    <col min="7" max="7" width="7.7109375" style="169" customWidth="1"/>
    <col min="8" max="8" width="6.85546875" style="87" customWidth="1"/>
    <col min="9" max="9" width="9.140625" style="170" customWidth="1"/>
    <col min="10" max="10" width="6.85546875" style="87" bestFit="1" customWidth="1"/>
    <col min="11" max="11" width="7" style="87" customWidth="1"/>
    <col min="12" max="12" width="6.85546875" style="48" customWidth="1"/>
    <col min="13" max="13" width="54.5703125" style="171" customWidth="1"/>
    <col min="14" max="14" width="17.28515625" style="119" customWidth="1"/>
    <col min="15" max="16384" width="9.140625" style="48"/>
  </cols>
  <sheetData>
    <row r="1" spans="1:21" ht="60" x14ac:dyDescent="0.2">
      <c r="A1" s="179" t="s">
        <v>0</v>
      </c>
      <c r="B1" s="108" t="s">
        <v>1</v>
      </c>
      <c r="C1" s="47" t="s">
        <v>38</v>
      </c>
      <c r="D1" s="47" t="s">
        <v>609</v>
      </c>
      <c r="E1" s="47" t="s">
        <v>608</v>
      </c>
      <c r="F1" s="46" t="s">
        <v>612</v>
      </c>
      <c r="G1" s="46" t="s">
        <v>44</v>
      </c>
      <c r="H1" s="46" t="s">
        <v>49</v>
      </c>
      <c r="I1" s="46" t="s">
        <v>56</v>
      </c>
      <c r="J1" s="46" t="s">
        <v>60</v>
      </c>
      <c r="K1" s="46" t="s">
        <v>1688</v>
      </c>
      <c r="L1" s="46" t="s">
        <v>61</v>
      </c>
      <c r="M1" s="46" t="s">
        <v>62</v>
      </c>
      <c r="N1" s="127" t="s">
        <v>1682</v>
      </c>
      <c r="S1" s="128"/>
      <c r="U1" s="128"/>
    </row>
    <row r="2" spans="1:21" ht="48" x14ac:dyDescent="0.2">
      <c r="A2" s="39">
        <v>486</v>
      </c>
      <c r="B2" s="40" t="s">
        <v>1157</v>
      </c>
      <c r="C2" s="50" t="str">
        <f>HYPERLINK("#Particularidade!"&amp;ADDRESS(MATCH(B2,Particularidade!B:B,0),2),"Ir para particularidadedes")</f>
        <v>Ir para particularidadedes</v>
      </c>
      <c r="D2" s="51" t="s">
        <v>1156</v>
      </c>
      <c r="E2" s="51" t="s">
        <v>1147</v>
      </c>
      <c r="F2" s="52" t="s">
        <v>822</v>
      </c>
      <c r="G2" s="53" t="s">
        <v>45</v>
      </c>
      <c r="H2" s="54" t="s">
        <v>41</v>
      </c>
      <c r="I2" s="54">
        <v>3</v>
      </c>
      <c r="J2" s="57">
        <v>3</v>
      </c>
      <c r="K2" s="57" t="s">
        <v>1689</v>
      </c>
      <c r="L2" s="54" t="s">
        <v>63</v>
      </c>
      <c r="M2" s="56" t="s">
        <v>632</v>
      </c>
      <c r="N2" s="131" t="s">
        <v>1683</v>
      </c>
    </row>
    <row r="3" spans="1:21" ht="36" x14ac:dyDescent="0.2">
      <c r="A3" s="37">
        <v>5</v>
      </c>
      <c r="B3" s="36" t="s">
        <v>802</v>
      </c>
      <c r="C3" s="50" t="str">
        <f>HYPERLINK("#Particularidade!"&amp;ADDRESS(MATCH(B3,Particularidade!B:B,0),2),"Ir para particularidadedes")</f>
        <v>Ir para particularidadedes</v>
      </c>
      <c r="D3" s="51" t="s">
        <v>803</v>
      </c>
      <c r="E3" s="51" t="s">
        <v>611</v>
      </c>
      <c r="F3" s="52" t="s">
        <v>614</v>
      </c>
      <c r="G3" s="129" t="s">
        <v>1836</v>
      </c>
      <c r="H3" s="54" t="s">
        <v>39</v>
      </c>
      <c r="I3" s="54" t="s">
        <v>57</v>
      </c>
      <c r="J3" s="54">
        <v>21</v>
      </c>
      <c r="K3" s="54"/>
      <c r="L3" s="54" t="s">
        <v>63</v>
      </c>
      <c r="M3" s="56" t="s">
        <v>64</v>
      </c>
    </row>
    <row r="4" spans="1:21" ht="48" x14ac:dyDescent="0.2">
      <c r="A4" s="37">
        <v>6</v>
      </c>
      <c r="B4" s="130" t="s">
        <v>797</v>
      </c>
      <c r="C4" s="50" t="str">
        <f>HYPERLINK("#Particularidade!"&amp;ADDRESS(MATCH(B4,Particularidade!B:B,0),2),"Ir para particularidadedes")</f>
        <v>Ir para particularidadedes</v>
      </c>
      <c r="D4" s="51" t="s">
        <v>804</v>
      </c>
      <c r="E4" s="51"/>
      <c r="F4" s="52" t="s">
        <v>614</v>
      </c>
      <c r="G4" s="129" t="s">
        <v>1836</v>
      </c>
      <c r="H4" s="57" t="s">
        <v>39</v>
      </c>
      <c r="I4" s="54" t="s">
        <v>57</v>
      </c>
      <c r="J4" s="57">
        <v>21</v>
      </c>
      <c r="K4" s="57"/>
      <c r="L4" s="57" t="s">
        <v>63</v>
      </c>
      <c r="M4" s="56" t="s">
        <v>1724</v>
      </c>
      <c r="N4" s="119" t="s">
        <v>605</v>
      </c>
    </row>
    <row r="5" spans="1:21" ht="48" x14ac:dyDescent="0.2">
      <c r="A5" s="39">
        <v>494</v>
      </c>
      <c r="B5" s="40" t="s">
        <v>449</v>
      </c>
      <c r="C5" s="50" t="str">
        <f>HYPERLINK("#Particularidade!"&amp;ADDRESS(MATCH(B5,Particularidade!B:B,0),2),"Ir para particularidadedes")</f>
        <v>Ir para particularidadedes</v>
      </c>
      <c r="D5" s="51" t="s">
        <v>1173</v>
      </c>
      <c r="E5" s="51" t="s">
        <v>1172</v>
      </c>
      <c r="F5" s="52" t="s">
        <v>822</v>
      </c>
      <c r="G5" s="53" t="s">
        <v>45</v>
      </c>
      <c r="H5" s="54" t="s">
        <v>41</v>
      </c>
      <c r="I5" s="54">
        <v>2</v>
      </c>
      <c r="J5" s="57">
        <v>3</v>
      </c>
      <c r="K5" s="57" t="s">
        <v>1689</v>
      </c>
      <c r="L5" s="54" t="s">
        <v>63</v>
      </c>
      <c r="M5" s="56" t="s">
        <v>633</v>
      </c>
      <c r="N5" s="199" t="s">
        <v>1683</v>
      </c>
    </row>
    <row r="6" spans="1:21" ht="36" x14ac:dyDescent="0.2">
      <c r="A6" s="37">
        <v>8</v>
      </c>
      <c r="B6" s="36" t="s">
        <v>799</v>
      </c>
      <c r="C6" s="50" t="str">
        <f>HYPERLINK("#Particularidade!"&amp;ADDRESS(MATCH(B6,Particularidade!B:B,0),2),"Ir para particularidadedes")</f>
        <v>Ir para particularidadedes</v>
      </c>
      <c r="D6" s="51" t="s">
        <v>814</v>
      </c>
      <c r="E6" s="51"/>
      <c r="F6" s="52" t="s">
        <v>613</v>
      </c>
      <c r="G6" s="129" t="s">
        <v>1836</v>
      </c>
      <c r="H6" s="57" t="s">
        <v>39</v>
      </c>
      <c r="I6" s="57" t="s">
        <v>57</v>
      </c>
      <c r="J6" s="57">
        <v>21</v>
      </c>
      <c r="K6" s="57"/>
      <c r="L6" s="57" t="s">
        <v>63</v>
      </c>
      <c r="M6" s="56" t="s">
        <v>65</v>
      </c>
    </row>
    <row r="7" spans="1:21" ht="72" x14ac:dyDescent="0.2">
      <c r="A7" s="37">
        <v>11</v>
      </c>
      <c r="B7" s="36" t="s">
        <v>620</v>
      </c>
      <c r="C7" s="50" t="str">
        <f>HYPERLINK("#Particularidade!"&amp;ADDRESS(MATCH(B7,Particularidade!B:B,0),2),"Ir para particularidadedes")</f>
        <v>Ir para particularidadedes</v>
      </c>
      <c r="D7" s="51" t="s">
        <v>619</v>
      </c>
      <c r="E7" s="51" t="s">
        <v>618</v>
      </c>
      <c r="F7" s="51" t="s">
        <v>613</v>
      </c>
      <c r="G7" s="126" t="s">
        <v>46</v>
      </c>
      <c r="H7" s="57" t="s">
        <v>41</v>
      </c>
      <c r="I7" s="54">
        <v>4</v>
      </c>
      <c r="J7" s="57">
        <v>2</v>
      </c>
      <c r="K7" s="57"/>
      <c r="L7" s="57" t="s">
        <v>63</v>
      </c>
      <c r="M7" s="56" t="s">
        <v>1726</v>
      </c>
      <c r="N7" s="131"/>
    </row>
    <row r="8" spans="1:21" ht="36" x14ac:dyDescent="0.2">
      <c r="A8" s="37">
        <v>12</v>
      </c>
      <c r="B8" s="36" t="s">
        <v>2</v>
      </c>
      <c r="C8" s="50" t="str">
        <f>HYPERLINK("#Particularidade!"&amp;ADDRESS(MATCH(B8,Particularidade!B:B,0),2),"Ir para particularidadedes")</f>
        <v>Ir para particularidadedes</v>
      </c>
      <c r="D8" s="51" t="s">
        <v>805</v>
      </c>
      <c r="E8" s="51"/>
      <c r="F8" s="51" t="s">
        <v>613</v>
      </c>
      <c r="G8" s="132"/>
      <c r="H8" s="57" t="s">
        <v>50</v>
      </c>
      <c r="I8" s="57" t="s">
        <v>58</v>
      </c>
      <c r="J8" s="57">
        <v>21</v>
      </c>
      <c r="K8" s="57"/>
      <c r="L8" s="55" t="s">
        <v>63</v>
      </c>
      <c r="M8" s="56" t="s">
        <v>1727</v>
      </c>
      <c r="N8" s="193"/>
    </row>
    <row r="9" spans="1:21" ht="48" x14ac:dyDescent="0.2">
      <c r="A9" s="37">
        <v>13</v>
      </c>
      <c r="B9" s="36" t="s">
        <v>806</v>
      </c>
      <c r="C9" s="50" t="str">
        <f>HYPERLINK("#Particularidade!"&amp;ADDRESS(MATCH(B9,Particularidade!B:B,0),2),"Ir para particularidadedes")</f>
        <v>Ir para particularidadedes</v>
      </c>
      <c r="D9" s="194" t="s">
        <v>807</v>
      </c>
      <c r="E9" s="195" t="s">
        <v>1778</v>
      </c>
      <c r="F9" s="51" t="s">
        <v>613</v>
      </c>
      <c r="G9" s="133" t="s">
        <v>47</v>
      </c>
      <c r="H9" s="57" t="s">
        <v>41</v>
      </c>
      <c r="I9" s="54">
        <v>16</v>
      </c>
      <c r="J9" s="54">
        <v>30</v>
      </c>
      <c r="K9" s="54"/>
      <c r="L9" s="57" t="s">
        <v>63</v>
      </c>
      <c r="M9" s="56" t="s">
        <v>1728</v>
      </c>
      <c r="N9" s="131" t="s">
        <v>1687</v>
      </c>
    </row>
    <row r="10" spans="1:21" ht="48" x14ac:dyDescent="0.2">
      <c r="A10" s="37">
        <v>14</v>
      </c>
      <c r="B10" s="36" t="s">
        <v>808</v>
      </c>
      <c r="C10" s="50" t="str">
        <f>HYPERLINK("#Particularidade!"&amp;ADDRESS(MATCH(B10,Particularidade!B:B,0),2),"Ir para particularidadedes")</f>
        <v>Ir para particularidadedes</v>
      </c>
      <c r="D10" s="51" t="s">
        <v>810</v>
      </c>
      <c r="E10" s="51"/>
      <c r="F10" s="52" t="s">
        <v>613</v>
      </c>
      <c r="G10" s="134"/>
      <c r="H10" s="57" t="s">
        <v>51</v>
      </c>
      <c r="I10" s="57"/>
      <c r="J10" s="57"/>
      <c r="K10" s="57"/>
      <c r="L10" s="57"/>
      <c r="M10" s="56" t="s">
        <v>66</v>
      </c>
    </row>
    <row r="11" spans="1:21" x14ac:dyDescent="0.2">
      <c r="A11" s="36">
        <v>17</v>
      </c>
      <c r="B11" s="36" t="s">
        <v>811</v>
      </c>
      <c r="C11" s="50" t="str">
        <f>HYPERLINK("#Particularidade!"&amp;ADDRESS(MATCH(B11,Particularidade!B:B,0),2),"Ir para particularidadedes")</f>
        <v>Ir para particularidadedes</v>
      </c>
      <c r="D11" s="51" t="s">
        <v>812</v>
      </c>
      <c r="E11" s="51"/>
      <c r="F11" s="52" t="s">
        <v>614</v>
      </c>
      <c r="G11" s="129" t="s">
        <v>1836</v>
      </c>
      <c r="H11" s="54" t="s">
        <v>52</v>
      </c>
      <c r="I11" s="54"/>
      <c r="J11" s="54"/>
      <c r="K11" s="54"/>
      <c r="L11" s="54"/>
      <c r="M11" s="58"/>
    </row>
    <row r="12" spans="1:21" ht="48" x14ac:dyDescent="0.2">
      <c r="A12" s="36">
        <v>18</v>
      </c>
      <c r="B12" s="36" t="s">
        <v>815</v>
      </c>
      <c r="C12" s="50" t="str">
        <f>HYPERLINK("#Particularidade!"&amp;ADDRESS(MATCH(B12,Particularidade!B:B,0),2),"Ir para particularidadedes")</f>
        <v>Ir para particularidadedes</v>
      </c>
      <c r="D12" s="51" t="s">
        <v>816</v>
      </c>
      <c r="E12" s="51"/>
      <c r="F12" s="52" t="s">
        <v>613</v>
      </c>
      <c r="G12" s="129" t="s">
        <v>1836</v>
      </c>
      <c r="H12" s="54" t="s">
        <v>52</v>
      </c>
      <c r="I12" s="54"/>
      <c r="J12" s="54">
        <v>21</v>
      </c>
      <c r="K12" s="54"/>
      <c r="L12" s="54" t="s">
        <v>63</v>
      </c>
      <c r="M12" s="49" t="s">
        <v>622</v>
      </c>
    </row>
    <row r="13" spans="1:21" ht="72" x14ac:dyDescent="0.2">
      <c r="A13" s="37">
        <v>22</v>
      </c>
      <c r="B13" s="36" t="s">
        <v>817</v>
      </c>
      <c r="C13" s="50" t="str">
        <f>HYPERLINK("#Particularidade!"&amp;ADDRESS(MATCH(B13,Particularidade!B:B,0),2),"Ir para particularidadedes")</f>
        <v>Ir para particularidadedes</v>
      </c>
      <c r="D13" s="51" t="s">
        <v>819</v>
      </c>
      <c r="E13" s="51"/>
      <c r="F13" s="52" t="s">
        <v>614</v>
      </c>
      <c r="G13" s="129" t="s">
        <v>1836</v>
      </c>
      <c r="H13" s="54" t="s">
        <v>39</v>
      </c>
      <c r="I13" s="57" t="s">
        <v>57</v>
      </c>
      <c r="J13" s="57">
        <v>21</v>
      </c>
      <c r="K13" s="57"/>
      <c r="L13" s="57" t="s">
        <v>63</v>
      </c>
      <c r="M13" s="56" t="s">
        <v>1729</v>
      </c>
    </row>
    <row r="14" spans="1:21" ht="36" x14ac:dyDescent="0.2">
      <c r="A14" s="37">
        <v>23</v>
      </c>
      <c r="B14" s="36" t="s">
        <v>820</v>
      </c>
      <c r="C14" s="50" t="str">
        <f>HYPERLINK("#Particularidade!"&amp;ADDRESS(MATCH(B14,Particularidade!B:B,0),2),"Ir para particularidadedes")</f>
        <v>Ir para particularidadedes</v>
      </c>
      <c r="D14" s="51" t="s">
        <v>821</v>
      </c>
      <c r="E14" s="51"/>
      <c r="F14" s="52" t="s">
        <v>822</v>
      </c>
      <c r="G14" s="134"/>
      <c r="H14" s="57" t="s">
        <v>50</v>
      </c>
      <c r="I14" s="57"/>
      <c r="J14" s="57"/>
      <c r="K14" s="57"/>
      <c r="L14" s="57" t="s">
        <v>67</v>
      </c>
      <c r="M14" s="56" t="s">
        <v>68</v>
      </c>
    </row>
    <row r="15" spans="1:21" ht="96" x14ac:dyDescent="0.2">
      <c r="A15" s="89">
        <v>24</v>
      </c>
      <c r="B15" s="36" t="s">
        <v>823</v>
      </c>
      <c r="C15" s="50" t="str">
        <f>HYPERLINK("#Particularidade!"&amp;ADDRESS(MATCH(B15,Particularidade!B:B,0),2),"Ir para particularidadedes")</f>
        <v>Ir para particularidadedes</v>
      </c>
      <c r="D15" s="51" t="s">
        <v>824</v>
      </c>
      <c r="E15" s="51" t="s">
        <v>615</v>
      </c>
      <c r="F15" s="51" t="s">
        <v>613</v>
      </c>
      <c r="G15" s="135" t="s">
        <v>48</v>
      </c>
      <c r="H15" s="57" t="s">
        <v>41</v>
      </c>
      <c r="I15" s="57">
        <v>37</v>
      </c>
      <c r="J15" s="57">
        <v>3</v>
      </c>
      <c r="K15" s="57"/>
      <c r="L15" s="124" t="s">
        <v>67</v>
      </c>
      <c r="M15" s="56" t="s">
        <v>69</v>
      </c>
    </row>
    <row r="16" spans="1:21" ht="48" x14ac:dyDescent="0.2">
      <c r="A16" s="37">
        <v>31</v>
      </c>
      <c r="B16" s="36" t="s">
        <v>825</v>
      </c>
      <c r="C16" s="50" t="str">
        <f>HYPERLINK("#Particularidade!"&amp;ADDRESS(MATCH(B16,Particularidade!B:B,0),2),"Ir para particularidadedes")</f>
        <v>Ir para particularidadedes</v>
      </c>
      <c r="D16" s="51" t="s">
        <v>826</v>
      </c>
      <c r="E16" s="51"/>
      <c r="F16" s="52" t="s">
        <v>613</v>
      </c>
      <c r="G16" s="129" t="s">
        <v>1836</v>
      </c>
      <c r="H16" s="57" t="s">
        <v>39</v>
      </c>
      <c r="I16" s="57" t="s">
        <v>57</v>
      </c>
      <c r="J16" s="57">
        <v>21</v>
      </c>
      <c r="K16" s="57"/>
      <c r="L16" s="136" t="s">
        <v>70</v>
      </c>
      <c r="M16" s="56" t="s">
        <v>1845</v>
      </c>
    </row>
    <row r="17" spans="1:14" ht="36" x14ac:dyDescent="0.2">
      <c r="A17" s="37">
        <v>32</v>
      </c>
      <c r="B17" s="36" t="s">
        <v>827</v>
      </c>
      <c r="C17" s="50" t="str">
        <f>HYPERLINK("#Particularidade!"&amp;ADDRESS(MATCH(B17,Particularidade!B:B,0),2),"Ir para particularidadedes")</f>
        <v>Ir para particularidadedes</v>
      </c>
      <c r="D17" s="51" t="s">
        <v>828</v>
      </c>
      <c r="E17" s="51"/>
      <c r="F17" s="52" t="s">
        <v>614</v>
      </c>
      <c r="G17" s="129" t="s">
        <v>1836</v>
      </c>
      <c r="H17" s="57" t="s">
        <v>52</v>
      </c>
      <c r="I17" s="57" t="s">
        <v>52</v>
      </c>
      <c r="J17" s="57">
        <v>30</v>
      </c>
      <c r="K17" s="57"/>
      <c r="L17" s="63" t="s">
        <v>63</v>
      </c>
      <c r="M17" s="60" t="s">
        <v>1730</v>
      </c>
    </row>
    <row r="18" spans="1:14" ht="48" x14ac:dyDescent="0.2">
      <c r="A18" s="39">
        <v>483</v>
      </c>
      <c r="B18" s="40" t="s">
        <v>1151</v>
      </c>
      <c r="C18" s="50" t="str">
        <f>HYPERLINK("#Particularidade!"&amp;ADDRESS(MATCH(B18,Particularidade!B:B,0),2),"Ir para particularidadedes")</f>
        <v>Ir para particularidadedes</v>
      </c>
      <c r="D18" s="51" t="s">
        <v>1150</v>
      </c>
      <c r="E18" s="51" t="s">
        <v>1147</v>
      </c>
      <c r="F18" s="52" t="s">
        <v>822</v>
      </c>
      <c r="G18" s="53" t="s">
        <v>45</v>
      </c>
      <c r="H18" s="54" t="s">
        <v>41</v>
      </c>
      <c r="I18" s="54">
        <v>4</v>
      </c>
      <c r="J18" s="57">
        <v>3</v>
      </c>
      <c r="K18" s="57" t="s">
        <v>1689</v>
      </c>
      <c r="L18" s="54" t="s">
        <v>63</v>
      </c>
      <c r="M18" s="56" t="s">
        <v>631</v>
      </c>
      <c r="N18" s="131" t="s">
        <v>1683</v>
      </c>
    </row>
    <row r="19" spans="1:14" ht="36" x14ac:dyDescent="0.2">
      <c r="A19" s="37">
        <v>36</v>
      </c>
      <c r="B19" s="36" t="s">
        <v>3</v>
      </c>
      <c r="C19" s="50" t="str">
        <f>HYPERLINK("#Particularidade!"&amp;ADDRESS(MATCH(B19,Particularidade!B:B,0),2),"Ir para particularidadedes")</f>
        <v>Ir para particularidadedes</v>
      </c>
      <c r="D19" s="51" t="s">
        <v>832</v>
      </c>
      <c r="E19" s="51"/>
      <c r="F19" s="52" t="s">
        <v>613</v>
      </c>
      <c r="G19" s="129" t="s">
        <v>1836</v>
      </c>
      <c r="H19" s="57" t="s">
        <v>39</v>
      </c>
      <c r="I19" s="57" t="s">
        <v>57</v>
      </c>
      <c r="J19" s="57">
        <v>21</v>
      </c>
      <c r="K19" s="57"/>
      <c r="L19" s="57" t="s">
        <v>63</v>
      </c>
      <c r="M19" s="56" t="s">
        <v>1865</v>
      </c>
    </row>
    <row r="20" spans="1:14" ht="36" x14ac:dyDescent="0.2">
      <c r="A20" s="37">
        <v>39</v>
      </c>
      <c r="B20" s="36" t="s">
        <v>833</v>
      </c>
      <c r="C20" s="50" t="str">
        <f>HYPERLINK("#Particularidade!"&amp;ADDRESS(MATCH(B20,Particularidade!B:B,0),2),"Ir para particularidadedes")</f>
        <v>Ir para particularidadedes</v>
      </c>
      <c r="D20" s="51" t="s">
        <v>834</v>
      </c>
      <c r="E20" s="51"/>
      <c r="F20" s="52" t="s">
        <v>613</v>
      </c>
      <c r="G20" s="134"/>
      <c r="H20" s="57" t="s">
        <v>50</v>
      </c>
      <c r="I20" s="57"/>
      <c r="J20" s="57"/>
      <c r="K20" s="57"/>
      <c r="L20" s="57" t="s">
        <v>67</v>
      </c>
      <c r="M20" s="56" t="s">
        <v>72</v>
      </c>
    </row>
    <row r="21" spans="1:14" x14ac:dyDescent="0.2">
      <c r="A21" s="89">
        <v>42</v>
      </c>
      <c r="B21" s="37" t="s">
        <v>835</v>
      </c>
      <c r="C21" s="50" t="str">
        <f>HYPERLINK("#Particularidade!"&amp;ADDRESS(MATCH(B21,Particularidade!B:B,0),2),"Ir para particularidadedes")</f>
        <v>Ir para particularidadedes</v>
      </c>
      <c r="D21" s="51" t="s">
        <v>836</v>
      </c>
      <c r="E21" s="51"/>
      <c r="F21" s="52" t="s">
        <v>614</v>
      </c>
      <c r="G21" s="134"/>
      <c r="H21" s="57" t="s">
        <v>52</v>
      </c>
      <c r="I21" s="57"/>
      <c r="J21" s="57"/>
      <c r="K21" s="57"/>
      <c r="L21" s="57" t="s">
        <v>63</v>
      </c>
      <c r="M21" s="56" t="s">
        <v>73</v>
      </c>
    </row>
    <row r="22" spans="1:14" ht="36" x14ac:dyDescent="0.2">
      <c r="A22" s="37">
        <v>46</v>
      </c>
      <c r="B22" s="36" t="s">
        <v>837</v>
      </c>
      <c r="C22" s="50" t="str">
        <f>HYPERLINK("#Particularidade!"&amp;ADDRESS(MATCH(B22,Particularidade!B:B,0),2),"Ir para particularidadedes")</f>
        <v>Ir para particularidadedes</v>
      </c>
      <c r="D22" s="51" t="s">
        <v>838</v>
      </c>
      <c r="E22" s="51"/>
      <c r="F22" s="52" t="s">
        <v>613</v>
      </c>
      <c r="G22" s="129" t="s">
        <v>1836</v>
      </c>
      <c r="H22" s="57" t="s">
        <v>39</v>
      </c>
      <c r="I22" s="57" t="s">
        <v>57</v>
      </c>
      <c r="J22" s="57">
        <v>21</v>
      </c>
      <c r="K22" s="57"/>
      <c r="L22" s="57" t="s">
        <v>63</v>
      </c>
      <c r="M22" s="56" t="s">
        <v>65</v>
      </c>
    </row>
    <row r="23" spans="1:14" ht="84" x14ac:dyDescent="0.2">
      <c r="A23" s="37">
        <v>47</v>
      </c>
      <c r="B23" s="36" t="s">
        <v>841</v>
      </c>
      <c r="C23" s="50" t="str">
        <f>HYPERLINK("#Particularidade!"&amp;ADDRESS(MATCH(B23,Particularidade!B:B,0),2),"Ir para particularidadedes")</f>
        <v>Ir para particularidadedes</v>
      </c>
      <c r="D23" s="51" t="s">
        <v>839</v>
      </c>
      <c r="E23" s="51" t="s">
        <v>840</v>
      </c>
      <c r="F23" s="52" t="s">
        <v>613</v>
      </c>
      <c r="G23" s="137" t="s">
        <v>46</v>
      </c>
      <c r="H23" s="57" t="s">
        <v>41</v>
      </c>
      <c r="I23" s="54">
        <v>5</v>
      </c>
      <c r="J23" s="57">
        <v>28</v>
      </c>
      <c r="K23" s="57"/>
      <c r="L23" s="57" t="s">
        <v>63</v>
      </c>
      <c r="M23" s="56" t="s">
        <v>74</v>
      </c>
      <c r="N23" s="131" t="s">
        <v>1683</v>
      </c>
    </row>
    <row r="24" spans="1:14" x14ac:dyDescent="0.2">
      <c r="A24" s="37">
        <v>49</v>
      </c>
      <c r="B24" s="37" t="s">
        <v>842</v>
      </c>
      <c r="C24" s="50" t="str">
        <f>HYPERLINK("#Particularidade!"&amp;ADDRESS(MATCH(B24,Particularidade!B:B,0),2),"Ir para particularidadedes")</f>
        <v>Ir para particularidadedes</v>
      </c>
      <c r="D24" s="51" t="s">
        <v>843</v>
      </c>
      <c r="E24" s="51"/>
      <c r="F24" s="52" t="s">
        <v>614</v>
      </c>
      <c r="G24" s="134"/>
      <c r="H24" s="57" t="s">
        <v>52</v>
      </c>
      <c r="I24" s="57"/>
      <c r="J24" s="57"/>
      <c r="K24" s="57"/>
      <c r="L24" s="57"/>
      <c r="M24" s="138"/>
    </row>
    <row r="25" spans="1:14" ht="36" x14ac:dyDescent="0.2">
      <c r="A25" s="36">
        <v>51</v>
      </c>
      <c r="B25" s="36" t="s">
        <v>845</v>
      </c>
      <c r="C25" s="50" t="str">
        <f>HYPERLINK("#Particularidade!"&amp;ADDRESS(MATCH(B25,Particularidade!B:B,0),2),"Ir para particularidadedes")</f>
        <v>Ir para particularidadedes</v>
      </c>
      <c r="D25" s="51" t="s">
        <v>844</v>
      </c>
      <c r="E25" s="51"/>
      <c r="F25" s="52" t="s">
        <v>614</v>
      </c>
      <c r="G25" s="108"/>
      <c r="H25" s="54" t="s">
        <v>50</v>
      </c>
      <c r="I25" s="54"/>
      <c r="J25" s="54"/>
      <c r="K25" s="54"/>
      <c r="L25" s="54"/>
      <c r="M25" s="58" t="s">
        <v>68</v>
      </c>
    </row>
    <row r="26" spans="1:14" ht="36" x14ac:dyDescent="0.2">
      <c r="A26" s="37">
        <v>52</v>
      </c>
      <c r="B26" s="36" t="s">
        <v>846</v>
      </c>
      <c r="C26" s="50" t="str">
        <f>HYPERLINK("#Particularidade!"&amp;ADDRESS(MATCH(B26,Particularidade!B:B,0),2),"Ir para particularidadedes")</f>
        <v>Ir para particularidadedes</v>
      </c>
      <c r="D26" s="51" t="s">
        <v>848</v>
      </c>
      <c r="E26" s="51"/>
      <c r="F26" s="52" t="s">
        <v>613</v>
      </c>
      <c r="G26" s="134"/>
      <c r="H26" s="57" t="s">
        <v>51</v>
      </c>
      <c r="I26" s="57"/>
      <c r="J26" s="57">
        <v>21</v>
      </c>
      <c r="K26" s="57"/>
      <c r="L26" s="57" t="s">
        <v>63</v>
      </c>
      <c r="M26" s="56" t="s">
        <v>1731</v>
      </c>
    </row>
    <row r="27" spans="1:14" x14ac:dyDescent="0.2">
      <c r="A27" s="36">
        <v>53</v>
      </c>
      <c r="B27" s="36" t="s">
        <v>850</v>
      </c>
      <c r="C27" s="50" t="str">
        <f>HYPERLINK("#Particularidade!"&amp;ADDRESS(MATCH(B27,Particularidade!B:B,0),2),"Ir para particularidadedes")</f>
        <v>Ir para particularidadedes</v>
      </c>
      <c r="D27" s="51" t="s">
        <v>849</v>
      </c>
      <c r="E27" s="51"/>
      <c r="F27" s="52" t="s">
        <v>613</v>
      </c>
      <c r="G27" s="129" t="s">
        <v>1836</v>
      </c>
      <c r="H27" s="54" t="s">
        <v>52</v>
      </c>
      <c r="I27" s="54"/>
      <c r="J27" s="54">
        <v>21</v>
      </c>
      <c r="K27" s="54"/>
      <c r="L27" s="54" t="s">
        <v>63</v>
      </c>
      <c r="M27" s="58"/>
    </row>
    <row r="28" spans="1:14" ht="48" x14ac:dyDescent="0.2">
      <c r="A28" s="39">
        <v>488</v>
      </c>
      <c r="B28" s="40" t="s">
        <v>1161</v>
      </c>
      <c r="C28" s="50" t="str">
        <f>HYPERLINK("#Particularidade!"&amp;ADDRESS(MATCH(B28,Particularidade!B:B,0),2),"Ir para particularidadedes")</f>
        <v>Ir para particularidadedes</v>
      </c>
      <c r="D28" s="51" t="s">
        <v>1160</v>
      </c>
      <c r="E28" s="51" t="s">
        <v>1147</v>
      </c>
      <c r="F28" s="52" t="s">
        <v>822</v>
      </c>
      <c r="G28" s="53" t="s">
        <v>45</v>
      </c>
      <c r="H28" s="54" t="s">
        <v>41</v>
      </c>
      <c r="I28" s="54">
        <v>1</v>
      </c>
      <c r="J28" s="57">
        <v>3</v>
      </c>
      <c r="K28" s="57" t="s">
        <v>1689</v>
      </c>
      <c r="L28" s="54" t="s">
        <v>63</v>
      </c>
      <c r="M28" s="56" t="s">
        <v>632</v>
      </c>
      <c r="N28" s="131" t="s">
        <v>1683</v>
      </c>
    </row>
    <row r="29" spans="1:14" x14ac:dyDescent="0.2">
      <c r="A29" s="36">
        <v>59</v>
      </c>
      <c r="B29" s="36" t="s">
        <v>248</v>
      </c>
      <c r="C29" s="50" t="str">
        <f>HYPERLINK("#Particularidade!"&amp;ADDRESS(MATCH(B29,Particularidade!B:B,0),2),"Ir para particularidadedes")</f>
        <v>Ir para particularidadedes</v>
      </c>
      <c r="D29" s="51" t="s">
        <v>854</v>
      </c>
      <c r="E29" s="51"/>
      <c r="F29" s="52" t="s">
        <v>614</v>
      </c>
      <c r="G29" s="129" t="s">
        <v>1836</v>
      </c>
      <c r="H29" s="54" t="s">
        <v>52</v>
      </c>
      <c r="I29" s="54"/>
      <c r="J29" s="54">
        <v>2</v>
      </c>
      <c r="K29" s="54"/>
      <c r="L29" s="54" t="s">
        <v>63</v>
      </c>
      <c r="M29" s="49"/>
    </row>
    <row r="30" spans="1:14" ht="36" x14ac:dyDescent="0.2">
      <c r="A30" s="37">
        <v>60</v>
      </c>
      <c r="B30" s="36" t="s">
        <v>855</v>
      </c>
      <c r="C30" s="50" t="str">
        <f>HYPERLINK("#Particularidade!"&amp;ADDRESS(MATCH(B30,Particularidade!B:B,0),2),"Ir para particularidadedes")</f>
        <v>Ir para particularidadedes</v>
      </c>
      <c r="D30" s="51" t="s">
        <v>856</v>
      </c>
      <c r="E30" s="51"/>
      <c r="F30" s="52" t="s">
        <v>613</v>
      </c>
      <c r="G30" s="129" t="s">
        <v>1836</v>
      </c>
      <c r="H30" s="57" t="s">
        <v>39</v>
      </c>
      <c r="I30" s="57" t="s">
        <v>57</v>
      </c>
      <c r="J30" s="57">
        <v>21</v>
      </c>
      <c r="K30" s="57"/>
      <c r="L30" s="136" t="s">
        <v>1792</v>
      </c>
      <c r="M30" s="56" t="s">
        <v>76</v>
      </c>
      <c r="N30" s="119" t="s">
        <v>1706</v>
      </c>
    </row>
    <row r="31" spans="1:14" ht="48" x14ac:dyDescent="0.2">
      <c r="A31" s="37">
        <v>61</v>
      </c>
      <c r="B31" s="36" t="s">
        <v>250</v>
      </c>
      <c r="C31" s="50" t="str">
        <f>HYPERLINK("#Particularidade!"&amp;ADDRESS(MATCH(B31,Particularidade!B:B,0),2),"Ir para particularidadedes")</f>
        <v>Ir para particularidadedes</v>
      </c>
      <c r="D31" s="51" t="s">
        <v>857</v>
      </c>
      <c r="E31" s="51"/>
      <c r="F31" s="52" t="s">
        <v>614</v>
      </c>
      <c r="G31" s="129" t="s">
        <v>1836</v>
      </c>
      <c r="H31" s="57" t="s">
        <v>39</v>
      </c>
      <c r="I31" s="57" t="s">
        <v>57</v>
      </c>
      <c r="J31" s="57">
        <v>21</v>
      </c>
      <c r="K31" s="57"/>
      <c r="L31" s="54" t="s">
        <v>63</v>
      </c>
      <c r="M31" s="138" t="s">
        <v>1863</v>
      </c>
    </row>
    <row r="32" spans="1:14" ht="60" x14ac:dyDescent="0.2">
      <c r="A32" s="39">
        <v>482</v>
      </c>
      <c r="B32" s="40" t="s">
        <v>1149</v>
      </c>
      <c r="C32" s="50" t="str">
        <f>HYPERLINK("#Particularidade!"&amp;ADDRESS(MATCH(B32,Particularidade!B:B,0),2),"Ir para particularidadedes")</f>
        <v>Ir para particularidadedes</v>
      </c>
      <c r="D32" s="51" t="s">
        <v>1148</v>
      </c>
      <c r="E32" s="51" t="s">
        <v>1147</v>
      </c>
      <c r="F32" s="52" t="s">
        <v>822</v>
      </c>
      <c r="G32" s="53" t="s">
        <v>45</v>
      </c>
      <c r="H32" s="54" t="s">
        <v>41</v>
      </c>
      <c r="I32" s="54">
        <v>4</v>
      </c>
      <c r="J32" s="57">
        <v>3</v>
      </c>
      <c r="K32" s="57" t="s">
        <v>1689</v>
      </c>
      <c r="L32" s="54" t="s">
        <v>63</v>
      </c>
      <c r="M32" s="56" t="s">
        <v>129</v>
      </c>
      <c r="N32" s="131" t="s">
        <v>1683</v>
      </c>
    </row>
    <row r="33" spans="1:14" ht="36" x14ac:dyDescent="0.2">
      <c r="A33" s="36">
        <v>65</v>
      </c>
      <c r="B33" s="36" t="s">
        <v>253</v>
      </c>
      <c r="C33" s="50" t="str">
        <f>HYPERLINK("#Particularidade!"&amp;ADDRESS(MATCH(B33,Particularidade!B:B,0),2),"Ir para particularidadedes")</f>
        <v>Ir para particularidadedes</v>
      </c>
      <c r="D33" s="51" t="s">
        <v>861</v>
      </c>
      <c r="E33" s="51"/>
      <c r="F33" s="52" t="s">
        <v>614</v>
      </c>
      <c r="G33" s="129" t="s">
        <v>1836</v>
      </c>
      <c r="H33" s="54" t="s">
        <v>52</v>
      </c>
      <c r="I33" s="54"/>
      <c r="J33" s="54">
        <v>21</v>
      </c>
      <c r="K33" s="54"/>
      <c r="L33" s="61" t="s">
        <v>78</v>
      </c>
      <c r="M33" s="49" t="s">
        <v>623</v>
      </c>
    </row>
    <row r="34" spans="1:14" ht="36" x14ac:dyDescent="0.2">
      <c r="A34" s="37">
        <v>67</v>
      </c>
      <c r="B34" s="36" t="s">
        <v>862</v>
      </c>
      <c r="C34" s="50" t="str">
        <f>HYPERLINK("#Particularidade!"&amp;ADDRESS(MATCH(B34,Particularidade!B:B,0),2),"Ir para particularidadedes")</f>
        <v>Ir para particularidadedes</v>
      </c>
      <c r="D34" s="51" t="s">
        <v>863</v>
      </c>
      <c r="E34" s="51"/>
      <c r="F34" s="52" t="s">
        <v>613</v>
      </c>
      <c r="G34" s="129" t="s">
        <v>1836</v>
      </c>
      <c r="H34" s="57" t="s">
        <v>39</v>
      </c>
      <c r="I34" s="57" t="s">
        <v>57</v>
      </c>
      <c r="J34" s="57">
        <v>21</v>
      </c>
      <c r="K34" s="57"/>
      <c r="L34" s="57" t="s">
        <v>63</v>
      </c>
      <c r="M34" s="56" t="s">
        <v>65</v>
      </c>
    </row>
    <row r="35" spans="1:14" x14ac:dyDescent="0.2">
      <c r="A35" s="37">
        <v>78</v>
      </c>
      <c r="B35" s="37" t="s">
        <v>865</v>
      </c>
      <c r="C35" s="50" t="str">
        <f>HYPERLINK("#Particularidade!"&amp;ADDRESS(MATCH(B35,Particularidade!B:B,0),2),"Ir para particularidadedes")</f>
        <v>Ir para particularidadedes</v>
      </c>
      <c r="D35" s="51" t="s">
        <v>864</v>
      </c>
      <c r="E35" s="51"/>
      <c r="F35" s="52" t="s">
        <v>613</v>
      </c>
      <c r="G35" s="134"/>
      <c r="H35" s="57" t="s">
        <v>52</v>
      </c>
      <c r="I35" s="57"/>
      <c r="J35" s="57"/>
      <c r="K35" s="57"/>
      <c r="L35" s="57"/>
      <c r="M35" s="138"/>
    </row>
    <row r="36" spans="1:14" x14ac:dyDescent="0.2">
      <c r="A36" s="37">
        <v>79</v>
      </c>
      <c r="B36" s="37" t="s">
        <v>867</v>
      </c>
      <c r="C36" s="50" t="str">
        <f>HYPERLINK("#Particularidade!"&amp;ADDRESS(MATCH(B36,Particularidade!B:B,0),2),"Ir para particularidadedes")</f>
        <v>Ir para particularidadedes</v>
      </c>
      <c r="D36" s="51" t="s">
        <v>866</v>
      </c>
      <c r="E36" s="51"/>
      <c r="F36" s="52" t="s">
        <v>822</v>
      </c>
      <c r="G36" s="134"/>
      <c r="H36" s="57" t="s">
        <v>52</v>
      </c>
      <c r="I36" s="57"/>
      <c r="J36" s="57"/>
      <c r="K36" s="57"/>
      <c r="L36" s="57"/>
      <c r="M36" s="138"/>
    </row>
    <row r="37" spans="1:14" ht="48" x14ac:dyDescent="0.2">
      <c r="A37" s="39">
        <v>490</v>
      </c>
      <c r="B37" s="40" t="s">
        <v>1165</v>
      </c>
      <c r="C37" s="50" t="str">
        <f>HYPERLINK("#Particularidade!"&amp;ADDRESS(MATCH(B37,Particularidade!B:B,0),2),"Ir para particularidadedes")</f>
        <v>Ir para particularidadedes</v>
      </c>
      <c r="D37" s="51" t="s">
        <v>1164</v>
      </c>
      <c r="E37" s="51" t="s">
        <v>1147</v>
      </c>
      <c r="F37" s="52" t="s">
        <v>822</v>
      </c>
      <c r="G37" s="53" t="s">
        <v>45</v>
      </c>
      <c r="H37" s="54" t="s">
        <v>42</v>
      </c>
      <c r="I37" s="54">
        <v>1</v>
      </c>
      <c r="J37" s="57">
        <v>3</v>
      </c>
      <c r="K37" s="57" t="s">
        <v>1689</v>
      </c>
      <c r="L37" s="54" t="s">
        <v>63</v>
      </c>
      <c r="M37" s="56" t="s">
        <v>632</v>
      </c>
      <c r="N37" s="131" t="s">
        <v>1683</v>
      </c>
    </row>
    <row r="38" spans="1:14" ht="48" x14ac:dyDescent="0.2">
      <c r="A38" s="39">
        <v>484</v>
      </c>
      <c r="B38" s="40" t="s">
        <v>1153</v>
      </c>
      <c r="C38" s="50" t="str">
        <f>HYPERLINK("#Particularidade!"&amp;ADDRESS(MATCH(B38,Particularidade!B:B,0),2),"Ir para particularidadedes")</f>
        <v>Ir para particularidadedes</v>
      </c>
      <c r="D38" s="51" t="s">
        <v>1152</v>
      </c>
      <c r="E38" s="51" t="s">
        <v>1147</v>
      </c>
      <c r="F38" s="52" t="s">
        <v>822</v>
      </c>
      <c r="G38" s="53" t="s">
        <v>45</v>
      </c>
      <c r="H38" s="54" t="s">
        <v>41</v>
      </c>
      <c r="I38" s="54">
        <v>3</v>
      </c>
      <c r="J38" s="57">
        <v>3</v>
      </c>
      <c r="K38" s="57" t="s">
        <v>1689</v>
      </c>
      <c r="L38" s="54" t="s">
        <v>63</v>
      </c>
      <c r="M38" s="56" t="s">
        <v>632</v>
      </c>
      <c r="N38" s="131" t="s">
        <v>1683</v>
      </c>
    </row>
    <row r="39" spans="1:14" ht="48" x14ac:dyDescent="0.2">
      <c r="A39" s="39">
        <v>485</v>
      </c>
      <c r="B39" s="40" t="s">
        <v>1155</v>
      </c>
      <c r="C39" s="50" t="str">
        <f>HYPERLINK("#Particularidade!"&amp;ADDRESS(MATCH(B39,Particularidade!B:B,0),2),"Ir para particularidadedes")</f>
        <v>Ir para particularidadedes</v>
      </c>
      <c r="D39" s="51" t="s">
        <v>1154</v>
      </c>
      <c r="E39" s="51" t="s">
        <v>1147</v>
      </c>
      <c r="F39" s="52" t="s">
        <v>822</v>
      </c>
      <c r="G39" s="53" t="s">
        <v>45</v>
      </c>
      <c r="H39" s="54" t="s">
        <v>41</v>
      </c>
      <c r="I39" s="54">
        <v>3</v>
      </c>
      <c r="J39" s="57">
        <v>3</v>
      </c>
      <c r="K39" s="57" t="s">
        <v>1689</v>
      </c>
      <c r="L39" s="54" t="s">
        <v>63</v>
      </c>
      <c r="M39" s="56" t="s">
        <v>632</v>
      </c>
      <c r="N39" s="131" t="s">
        <v>1683</v>
      </c>
    </row>
    <row r="40" spans="1:14" ht="24" x14ac:dyDescent="0.2">
      <c r="A40" s="36">
        <v>845</v>
      </c>
      <c r="B40" s="113" t="s">
        <v>1558</v>
      </c>
      <c r="C40" s="50" t="str">
        <f>HYPERLINK("#Particularidade!"&amp;ADDRESS(MATCH(B40,Particularidade!B:B,0),2),"Ir para particularidadedes")</f>
        <v>Ir para particularidadedes</v>
      </c>
      <c r="D40" s="51" t="s">
        <v>1557</v>
      </c>
      <c r="E40" s="51" t="s">
        <v>1556</v>
      </c>
      <c r="F40" s="52" t="s">
        <v>613</v>
      </c>
      <c r="G40" s="53" t="s">
        <v>45</v>
      </c>
      <c r="H40" s="57" t="s">
        <v>41</v>
      </c>
      <c r="I40" s="76">
        <v>3</v>
      </c>
      <c r="J40" s="77">
        <v>30</v>
      </c>
      <c r="K40" s="77" t="s">
        <v>1689</v>
      </c>
      <c r="L40" s="37" t="s">
        <v>63</v>
      </c>
      <c r="M40" s="60" t="s">
        <v>205</v>
      </c>
      <c r="N40" s="131" t="s">
        <v>1684</v>
      </c>
    </row>
    <row r="41" spans="1:14" ht="96" x14ac:dyDescent="0.2">
      <c r="A41" s="89">
        <v>95</v>
      </c>
      <c r="B41" s="36" t="s">
        <v>4</v>
      </c>
      <c r="C41" s="50" t="str">
        <f>HYPERLINK("#Particularidade!"&amp;ADDRESS(MATCH(B41,Particularidade!B:B,0),2),"Ir para particularidadedes")</f>
        <v>Ir para particularidadedes</v>
      </c>
      <c r="D41" s="51" t="s">
        <v>879</v>
      </c>
      <c r="E41" s="51"/>
      <c r="F41" s="51" t="s">
        <v>614</v>
      </c>
      <c r="G41" s="36"/>
      <c r="H41" s="57" t="s">
        <v>50</v>
      </c>
      <c r="I41" s="57">
        <v>0</v>
      </c>
      <c r="J41" s="57">
        <v>5</v>
      </c>
      <c r="K41" s="57"/>
      <c r="L41" s="63" t="s">
        <v>63</v>
      </c>
      <c r="M41" s="56" t="s">
        <v>1732</v>
      </c>
    </row>
    <row r="42" spans="1:14" x14ac:dyDescent="0.2">
      <c r="A42" s="37">
        <v>99</v>
      </c>
      <c r="B42" s="37" t="s">
        <v>881</v>
      </c>
      <c r="C42" s="50" t="str">
        <f>HYPERLINK("#Particularidade!"&amp;ADDRESS(MATCH(B42,Particularidade!B:B,0),2),"Ir para particularidadedes")</f>
        <v>Ir para particularidadedes</v>
      </c>
      <c r="D42" s="51" t="s">
        <v>880</v>
      </c>
      <c r="E42" s="51"/>
      <c r="F42" s="52" t="s">
        <v>613</v>
      </c>
      <c r="G42" s="134"/>
      <c r="H42" s="57" t="s">
        <v>52</v>
      </c>
      <c r="I42" s="57"/>
      <c r="J42" s="57"/>
      <c r="K42" s="57"/>
      <c r="L42" s="57"/>
      <c r="M42" s="138"/>
    </row>
    <row r="43" spans="1:14" x14ac:dyDescent="0.2">
      <c r="A43" s="37">
        <v>102</v>
      </c>
      <c r="B43" s="37" t="s">
        <v>883</v>
      </c>
      <c r="C43" s="50" t="str">
        <f>HYPERLINK("#Particularidade!"&amp;ADDRESS(MATCH(B43,Particularidade!B:B,0),2),"Ir para particularidadedes")</f>
        <v>Ir para particularidadedes</v>
      </c>
      <c r="D43" s="51" t="s">
        <v>882</v>
      </c>
      <c r="E43" s="51"/>
      <c r="F43" s="52" t="s">
        <v>613</v>
      </c>
      <c r="G43" s="134"/>
      <c r="H43" s="57" t="s">
        <v>52</v>
      </c>
      <c r="I43" s="57"/>
      <c r="J43" s="57"/>
      <c r="K43" s="57"/>
      <c r="L43" s="57"/>
      <c r="M43" s="138"/>
    </row>
    <row r="44" spans="1:14" ht="36" x14ac:dyDescent="0.2">
      <c r="A44" s="37">
        <v>107</v>
      </c>
      <c r="B44" s="36" t="s">
        <v>5</v>
      </c>
      <c r="C44" s="50" t="str">
        <f>HYPERLINK("#Particularidade!"&amp;ADDRESS(MATCH(B44,Particularidade!B:B,0),2),"Ir para particularidadedes")</f>
        <v>Ir para particularidadedes</v>
      </c>
      <c r="D44" s="51" t="s">
        <v>884</v>
      </c>
      <c r="E44" s="51"/>
      <c r="F44" s="52" t="s">
        <v>614</v>
      </c>
      <c r="G44" s="129" t="s">
        <v>1836</v>
      </c>
      <c r="H44" s="57" t="s">
        <v>39</v>
      </c>
      <c r="I44" s="57" t="s">
        <v>57</v>
      </c>
      <c r="J44" s="57">
        <v>21</v>
      </c>
      <c r="K44" s="57"/>
      <c r="L44" s="57" t="s">
        <v>63</v>
      </c>
      <c r="M44" s="56" t="s">
        <v>65</v>
      </c>
    </row>
    <row r="45" spans="1:14" ht="72" x14ac:dyDescent="0.2">
      <c r="A45" s="37">
        <v>110</v>
      </c>
      <c r="B45" s="36" t="s">
        <v>886</v>
      </c>
      <c r="C45" s="50" t="str">
        <f>HYPERLINK("#Particularidade!"&amp;ADDRESS(MATCH(B45,Particularidade!B:B,0),2),"Ir para particularidadedes")</f>
        <v>Ir para particularidadedes</v>
      </c>
      <c r="D45" s="51" t="s">
        <v>885</v>
      </c>
      <c r="E45" s="51"/>
      <c r="F45" s="51" t="s">
        <v>613</v>
      </c>
      <c r="G45" s="36"/>
      <c r="H45" s="57" t="s">
        <v>50</v>
      </c>
      <c r="I45" s="57">
        <v>0</v>
      </c>
      <c r="J45" s="57">
        <v>5</v>
      </c>
      <c r="K45" s="57"/>
      <c r="L45" s="63" t="s">
        <v>63</v>
      </c>
      <c r="M45" s="56" t="s">
        <v>1733</v>
      </c>
    </row>
    <row r="46" spans="1:14" ht="48" x14ac:dyDescent="0.2">
      <c r="A46" s="36">
        <v>111</v>
      </c>
      <c r="B46" s="36" t="s">
        <v>887</v>
      </c>
      <c r="C46" s="50" t="str">
        <f>HYPERLINK("#Particularidade!"&amp;ADDRESS(MATCH(B46,Particularidade!B:B,0),2),"Ir para particularidadedes")</f>
        <v>Ir para particularidadedes</v>
      </c>
      <c r="D46" s="51" t="s">
        <v>888</v>
      </c>
      <c r="E46" s="51"/>
      <c r="F46" s="52" t="s">
        <v>613</v>
      </c>
      <c r="G46" s="134"/>
      <c r="H46" s="57" t="s">
        <v>52</v>
      </c>
      <c r="I46" s="54"/>
      <c r="J46" s="54"/>
      <c r="K46" s="54"/>
      <c r="L46" s="54"/>
      <c r="M46" s="49" t="s">
        <v>81</v>
      </c>
    </row>
    <row r="47" spans="1:14" ht="48" x14ac:dyDescent="0.2">
      <c r="A47" s="37">
        <v>82</v>
      </c>
      <c r="B47" s="36" t="s">
        <v>870</v>
      </c>
      <c r="C47" s="50" t="str">
        <f>HYPERLINK("#Particularidade!"&amp;ADDRESS(MATCH(B47,Particularidade!B:B,0),2),"Ir para particularidadedes")</f>
        <v>Ir para particularidadedes</v>
      </c>
      <c r="D47" s="51" t="s">
        <v>868</v>
      </c>
      <c r="E47" s="51" t="s">
        <v>869</v>
      </c>
      <c r="F47" s="52" t="s">
        <v>617</v>
      </c>
      <c r="G47" s="53" t="s">
        <v>45</v>
      </c>
      <c r="H47" s="57" t="s">
        <v>41</v>
      </c>
      <c r="I47" s="54">
        <v>1</v>
      </c>
      <c r="J47" s="57">
        <v>28</v>
      </c>
      <c r="K47" s="57" t="s">
        <v>1684</v>
      </c>
      <c r="L47" s="124" t="s">
        <v>75</v>
      </c>
      <c r="M47" s="60" t="s">
        <v>1718</v>
      </c>
      <c r="N47" s="131" t="s">
        <v>1687</v>
      </c>
    </row>
    <row r="48" spans="1:14" ht="36" x14ac:dyDescent="0.2">
      <c r="A48" s="36">
        <v>475</v>
      </c>
      <c r="B48" s="36" t="s">
        <v>443</v>
      </c>
      <c r="C48" s="50" t="str">
        <f>HYPERLINK("#Particularidade!"&amp;ADDRESS(MATCH(B48,Particularidade!B:B,0),2),"Ir para particularidadedes")</f>
        <v>Ir para particularidadedes</v>
      </c>
      <c r="D48" s="51" t="s">
        <v>1139</v>
      </c>
      <c r="E48" s="51" t="s">
        <v>991</v>
      </c>
      <c r="F48" s="52" t="s">
        <v>613</v>
      </c>
      <c r="G48" s="53" t="s">
        <v>45</v>
      </c>
      <c r="H48" s="54" t="s">
        <v>41</v>
      </c>
      <c r="I48" s="54">
        <v>3</v>
      </c>
      <c r="J48" s="57">
        <v>4</v>
      </c>
      <c r="K48" s="57" t="s">
        <v>1683</v>
      </c>
      <c r="L48" s="63" t="s">
        <v>63</v>
      </c>
      <c r="M48" s="56" t="s">
        <v>650</v>
      </c>
      <c r="N48" s="131" t="s">
        <v>1687</v>
      </c>
    </row>
    <row r="49" spans="1:14" ht="48" x14ac:dyDescent="0.2">
      <c r="A49" s="36">
        <v>125</v>
      </c>
      <c r="B49" s="36" t="s">
        <v>894</v>
      </c>
      <c r="C49" s="50" t="str">
        <f>HYPERLINK("#Particularidade!"&amp;ADDRESS(MATCH(B49,Particularidade!B:B,0),2),"Ir para particularidadedes")</f>
        <v>Ir para particularidadedes</v>
      </c>
      <c r="D49" s="51" t="s">
        <v>896</v>
      </c>
      <c r="E49" s="51"/>
      <c r="F49" s="52" t="s">
        <v>613</v>
      </c>
      <c r="G49" s="129" t="s">
        <v>1836</v>
      </c>
      <c r="H49" s="54" t="s">
        <v>52</v>
      </c>
      <c r="I49" s="54"/>
      <c r="J49" s="54">
        <v>21</v>
      </c>
      <c r="K49" s="54"/>
      <c r="L49" s="54" t="s">
        <v>63</v>
      </c>
      <c r="M49" s="49" t="s">
        <v>82</v>
      </c>
    </row>
    <row r="50" spans="1:14" ht="36" x14ac:dyDescent="0.2">
      <c r="A50" s="37">
        <v>127</v>
      </c>
      <c r="B50" s="36" t="s">
        <v>897</v>
      </c>
      <c r="C50" s="50" t="str">
        <f>HYPERLINK("#Particularidade!"&amp;ADDRESS(MATCH(B50,Particularidade!B:B,0),2),"Ir para particularidadedes")</f>
        <v>Ir para particularidadedes</v>
      </c>
      <c r="D50" s="51" t="s">
        <v>898</v>
      </c>
      <c r="E50" s="51"/>
      <c r="F50" s="52" t="s">
        <v>822</v>
      </c>
      <c r="G50" s="134"/>
      <c r="H50" s="57" t="s">
        <v>50</v>
      </c>
      <c r="I50" s="57"/>
      <c r="J50" s="57"/>
      <c r="K50" s="57"/>
      <c r="L50" s="57"/>
      <c r="M50" s="56" t="s">
        <v>83</v>
      </c>
    </row>
    <row r="51" spans="1:14" ht="36" x14ac:dyDescent="0.2">
      <c r="A51" s="37">
        <v>140</v>
      </c>
      <c r="B51" s="37" t="s">
        <v>899</v>
      </c>
      <c r="C51" s="50" t="str">
        <f>HYPERLINK("#Particularidade!"&amp;ADDRESS(MATCH(B51,Particularidade!B:B,0),2),"Ir para particularidadedes")</f>
        <v>Ir para particularidadedes</v>
      </c>
      <c r="D51" s="51" t="s">
        <v>900</v>
      </c>
      <c r="E51" s="51"/>
      <c r="F51" s="52" t="s">
        <v>822</v>
      </c>
      <c r="G51" s="134"/>
      <c r="H51" s="57" t="s">
        <v>50</v>
      </c>
      <c r="I51" s="57"/>
      <c r="J51" s="57"/>
      <c r="K51" s="57"/>
      <c r="L51" s="57"/>
      <c r="M51" s="138" t="s">
        <v>68</v>
      </c>
    </row>
    <row r="52" spans="1:14" x14ac:dyDescent="0.2">
      <c r="A52" s="37">
        <v>144</v>
      </c>
      <c r="B52" s="37" t="s">
        <v>901</v>
      </c>
      <c r="C52" s="50" t="str">
        <f>HYPERLINK("#Particularidade!"&amp;ADDRESS(MATCH(B52,Particularidade!B:B,0),2),"Ir para particularidadedes")</f>
        <v>Ir para particularidadedes</v>
      </c>
      <c r="D52" s="51" t="s">
        <v>902</v>
      </c>
      <c r="E52" s="51"/>
      <c r="F52" s="52" t="s">
        <v>614</v>
      </c>
      <c r="G52" s="134"/>
      <c r="H52" s="57" t="s">
        <v>52</v>
      </c>
      <c r="I52" s="57"/>
      <c r="J52" s="57"/>
      <c r="K52" s="57"/>
      <c r="L52" s="57"/>
      <c r="M52" s="138"/>
    </row>
    <row r="53" spans="1:14" ht="36" x14ac:dyDescent="0.2">
      <c r="A53" s="37">
        <v>146</v>
      </c>
      <c r="B53" s="37" t="s">
        <v>904</v>
      </c>
      <c r="C53" s="50" t="str">
        <f>HYPERLINK("#Particularidade!"&amp;ADDRESS(MATCH(B53,Particularidade!B:B,0),2),"Ir para particularidadedes")</f>
        <v>Ir para particularidadedes</v>
      </c>
      <c r="D53" s="51" t="s">
        <v>903</v>
      </c>
      <c r="E53" s="51"/>
      <c r="F53" s="52" t="s">
        <v>614</v>
      </c>
      <c r="G53" s="134"/>
      <c r="H53" s="57" t="s">
        <v>50</v>
      </c>
      <c r="I53" s="57"/>
      <c r="J53" s="57"/>
      <c r="K53" s="57"/>
      <c r="L53" s="57"/>
      <c r="M53" s="138" t="s">
        <v>68</v>
      </c>
    </row>
    <row r="54" spans="1:14" x14ac:dyDescent="0.2">
      <c r="A54" s="37">
        <v>147</v>
      </c>
      <c r="B54" s="37" t="s">
        <v>6</v>
      </c>
      <c r="C54" s="50" t="str">
        <f>HYPERLINK("#Particularidade!"&amp;ADDRESS(MATCH(B54,Particularidade!B:B,0),2),"Ir para particularidadedes")</f>
        <v>Ir para particularidadedes</v>
      </c>
      <c r="D54" s="51" t="s">
        <v>905</v>
      </c>
      <c r="E54" s="51"/>
      <c r="F54" s="52" t="s">
        <v>614</v>
      </c>
      <c r="G54" s="134"/>
      <c r="H54" s="57" t="s">
        <v>52</v>
      </c>
      <c r="I54" s="57"/>
      <c r="J54" s="57"/>
      <c r="K54" s="57"/>
      <c r="L54" s="57"/>
      <c r="M54" s="138"/>
    </row>
    <row r="55" spans="1:14" x14ac:dyDescent="0.2">
      <c r="A55" s="37">
        <v>158</v>
      </c>
      <c r="B55" s="36" t="s">
        <v>906</v>
      </c>
      <c r="C55" s="50" t="str">
        <f>HYPERLINK("#Particularidade!"&amp;ADDRESS(MATCH(B55,Particularidade!B:B,0),2),"Ir para particularidadedes")</f>
        <v>Ir para particularidadedes</v>
      </c>
      <c r="D55" s="51" t="s">
        <v>907</v>
      </c>
      <c r="E55" s="51"/>
      <c r="F55" s="52" t="s">
        <v>614</v>
      </c>
      <c r="G55" s="134"/>
      <c r="H55" s="57" t="s">
        <v>52</v>
      </c>
      <c r="I55" s="57"/>
      <c r="J55" s="57">
        <v>21</v>
      </c>
      <c r="K55" s="57"/>
      <c r="L55" s="57" t="s">
        <v>63</v>
      </c>
      <c r="M55" s="56" t="s">
        <v>84</v>
      </c>
    </row>
    <row r="56" spans="1:14" x14ac:dyDescent="0.2">
      <c r="A56" s="37">
        <v>163</v>
      </c>
      <c r="B56" s="37" t="s">
        <v>909</v>
      </c>
      <c r="C56" s="50" t="str">
        <f>HYPERLINK("#Particularidade!"&amp;ADDRESS(MATCH(B56,Particularidade!B:B,0),2),"Ir para particularidadedes")</f>
        <v>Ir para particularidadedes</v>
      </c>
      <c r="D56" s="51" t="s">
        <v>908</v>
      </c>
      <c r="E56" s="51"/>
      <c r="F56" s="52" t="s">
        <v>614</v>
      </c>
      <c r="G56" s="134"/>
      <c r="H56" s="57" t="s">
        <v>52</v>
      </c>
      <c r="I56" s="57"/>
      <c r="J56" s="57"/>
      <c r="K56" s="57"/>
      <c r="L56" s="57"/>
      <c r="M56" s="138"/>
    </row>
    <row r="57" spans="1:14" ht="26.25" customHeight="1" x14ac:dyDescent="0.2">
      <c r="A57" s="36">
        <v>173</v>
      </c>
      <c r="B57" s="36" t="s">
        <v>910</v>
      </c>
      <c r="C57" s="50" t="str">
        <f>HYPERLINK("#Particularidade!"&amp;ADDRESS(MATCH(B57,Particularidade!B:B,0),2),"Ir para particularidadedes")</f>
        <v>Ir para particularidadedes</v>
      </c>
      <c r="D57" s="51" t="s">
        <v>911</v>
      </c>
      <c r="E57" s="51"/>
      <c r="F57" s="52" t="s">
        <v>613</v>
      </c>
      <c r="G57" s="129" t="s">
        <v>1836</v>
      </c>
      <c r="H57" s="54" t="s">
        <v>39</v>
      </c>
      <c r="I57" s="54"/>
      <c r="J57" s="54">
        <v>21</v>
      </c>
      <c r="K57" s="54"/>
      <c r="L57" s="54" t="s">
        <v>63</v>
      </c>
      <c r="M57" s="49" t="s">
        <v>1853</v>
      </c>
    </row>
    <row r="58" spans="1:14" ht="36" x14ac:dyDescent="0.2">
      <c r="A58" s="37">
        <v>696</v>
      </c>
      <c r="B58" s="36" t="s">
        <v>1481</v>
      </c>
      <c r="C58" s="50" t="str">
        <f>HYPERLINK("#Particularidade!"&amp;ADDRESS(MATCH(B58,Particularidade!B:B,0),2),"Ir para particularidadedes")</f>
        <v>Ir para particularidadedes</v>
      </c>
      <c r="D58" s="51" t="s">
        <v>1480</v>
      </c>
      <c r="E58" s="51" t="s">
        <v>1479</v>
      </c>
      <c r="F58" s="52" t="s">
        <v>613</v>
      </c>
      <c r="G58" s="53" t="s">
        <v>45</v>
      </c>
      <c r="H58" s="57" t="s">
        <v>41</v>
      </c>
      <c r="I58" s="36">
        <v>1</v>
      </c>
      <c r="J58" s="37">
        <v>30</v>
      </c>
      <c r="K58" s="37" t="s">
        <v>1684</v>
      </c>
      <c r="L58" s="37" t="s">
        <v>63</v>
      </c>
      <c r="M58" s="60" t="s">
        <v>1698</v>
      </c>
      <c r="N58" s="131" t="s">
        <v>1683</v>
      </c>
    </row>
    <row r="59" spans="1:14" ht="26.25" customHeight="1" x14ac:dyDescent="0.2">
      <c r="A59" s="37">
        <v>181</v>
      </c>
      <c r="B59" s="36" t="s">
        <v>286</v>
      </c>
      <c r="C59" s="50" t="str">
        <f>HYPERLINK("#Particularidade!"&amp;ADDRESS(MATCH(B59,Particularidade!B:B,0),2),"Ir para particularidadedes")</f>
        <v>Ir para particularidadedes</v>
      </c>
      <c r="D59" s="51" t="s">
        <v>915</v>
      </c>
      <c r="E59" s="51"/>
      <c r="F59" s="52" t="s">
        <v>614</v>
      </c>
      <c r="G59" s="129" t="s">
        <v>1836</v>
      </c>
      <c r="H59" s="54" t="s">
        <v>39</v>
      </c>
      <c r="I59" s="57" t="s">
        <v>57</v>
      </c>
      <c r="J59" s="57">
        <v>21</v>
      </c>
      <c r="K59" s="57"/>
      <c r="L59" s="54" t="s">
        <v>63</v>
      </c>
      <c r="M59" s="56" t="s">
        <v>1862</v>
      </c>
    </row>
    <row r="60" spans="1:14" ht="36" x14ac:dyDescent="0.2">
      <c r="A60" s="37">
        <v>184</v>
      </c>
      <c r="B60" s="37" t="s">
        <v>7</v>
      </c>
      <c r="C60" s="50" t="str">
        <f>HYPERLINK("#Particularidade!"&amp;ADDRESS(MATCH(B60,Particularidade!B:B,0),2),"Ir para particularidadedes")</f>
        <v>Ir para particularidadedes</v>
      </c>
      <c r="D60" s="51" t="s">
        <v>916</v>
      </c>
      <c r="E60" s="51"/>
      <c r="F60" s="52" t="s">
        <v>614</v>
      </c>
      <c r="G60" s="134"/>
      <c r="H60" s="57" t="s">
        <v>50</v>
      </c>
      <c r="I60" s="57"/>
      <c r="J60" s="57"/>
      <c r="K60" s="57"/>
      <c r="L60" s="57"/>
      <c r="M60" s="138" t="s">
        <v>1734</v>
      </c>
    </row>
    <row r="61" spans="1:14" ht="72" x14ac:dyDescent="0.2">
      <c r="A61" s="89">
        <v>188</v>
      </c>
      <c r="B61" s="36" t="s">
        <v>918</v>
      </c>
      <c r="C61" s="50" t="str">
        <f>HYPERLINK("#Particularidade!"&amp;ADDRESS(MATCH(B61,Particularidade!B:B,0),2),"Ir para particularidadedes")</f>
        <v>Ir para particularidadedes</v>
      </c>
      <c r="D61" s="51" t="s">
        <v>919</v>
      </c>
      <c r="E61" s="51" t="s">
        <v>917</v>
      </c>
      <c r="F61" s="52" t="s">
        <v>613</v>
      </c>
      <c r="G61" s="139" t="s">
        <v>46</v>
      </c>
      <c r="H61" s="57" t="s">
        <v>50</v>
      </c>
      <c r="I61" s="54">
        <v>4</v>
      </c>
      <c r="J61" s="57">
        <v>3</v>
      </c>
      <c r="K61" s="57"/>
      <c r="L61" s="57" t="s">
        <v>63</v>
      </c>
      <c r="M61" s="56" t="s">
        <v>85</v>
      </c>
    </row>
    <row r="62" spans="1:14" ht="60" x14ac:dyDescent="0.2">
      <c r="A62" s="37">
        <v>191</v>
      </c>
      <c r="B62" s="36" t="s">
        <v>842</v>
      </c>
      <c r="C62" s="50" t="str">
        <f>HYPERLINK("#Particularidade!"&amp;ADDRESS(MATCH(B62,Particularidade!B:B,0),2),"Ir para particularidadedes")</f>
        <v>Ir para particularidadedes</v>
      </c>
      <c r="D62" s="51" t="s">
        <v>920</v>
      </c>
      <c r="E62" s="51"/>
      <c r="F62" s="52" t="s">
        <v>614</v>
      </c>
      <c r="G62" s="134"/>
      <c r="H62" s="57" t="s">
        <v>52</v>
      </c>
      <c r="I62" s="57"/>
      <c r="J62" s="57"/>
      <c r="K62" s="57"/>
      <c r="L62" s="57" t="s">
        <v>63</v>
      </c>
      <c r="M62" s="56" t="s">
        <v>86</v>
      </c>
    </row>
    <row r="63" spans="1:14" ht="36" x14ac:dyDescent="0.2">
      <c r="A63" s="37">
        <v>192</v>
      </c>
      <c r="B63" s="36" t="s">
        <v>921</v>
      </c>
      <c r="C63" s="50" t="str">
        <f>HYPERLINK("#Particularidade!"&amp;ADDRESS(MATCH(B63,Particularidade!B:B,0),2),"Ir para particularidadedes")</f>
        <v>Ir para particularidadedes</v>
      </c>
      <c r="D63" s="51" t="s">
        <v>922</v>
      </c>
      <c r="E63" s="51"/>
      <c r="F63" s="52" t="s">
        <v>613</v>
      </c>
      <c r="G63" s="129" t="s">
        <v>1836</v>
      </c>
      <c r="H63" s="57" t="s">
        <v>39</v>
      </c>
      <c r="I63" s="57" t="s">
        <v>57</v>
      </c>
      <c r="J63" s="57">
        <v>21</v>
      </c>
      <c r="K63" s="57"/>
      <c r="L63" s="57" t="s">
        <v>63</v>
      </c>
      <c r="M63" s="56" t="s">
        <v>65</v>
      </c>
    </row>
    <row r="64" spans="1:14" x14ac:dyDescent="0.2">
      <c r="A64" s="36">
        <v>196</v>
      </c>
      <c r="B64" s="36" t="s">
        <v>923</v>
      </c>
      <c r="C64" s="50" t="str">
        <f>HYPERLINK("#Particularidade!"&amp;ADDRESS(MATCH(B64,Particularidade!B:B,0),2),"Ir para particularidadedes")</f>
        <v>Ir para particularidadedes</v>
      </c>
      <c r="D64" s="51" t="s">
        <v>924</v>
      </c>
      <c r="E64" s="51"/>
      <c r="F64" s="52" t="s">
        <v>614</v>
      </c>
      <c r="G64" s="129" t="s">
        <v>1836</v>
      </c>
      <c r="H64" s="54" t="s">
        <v>52</v>
      </c>
      <c r="I64" s="54"/>
      <c r="J64" s="54">
        <v>21</v>
      </c>
      <c r="K64" s="54"/>
      <c r="L64" s="54" t="s">
        <v>63</v>
      </c>
      <c r="M64" s="58" t="s">
        <v>87</v>
      </c>
    </row>
    <row r="65" spans="1:14" ht="36" x14ac:dyDescent="0.2">
      <c r="A65" s="37">
        <v>197</v>
      </c>
      <c r="B65" s="36" t="s">
        <v>925</v>
      </c>
      <c r="C65" s="50" t="str">
        <f>HYPERLINK("#Particularidade!"&amp;ADDRESS(MATCH(B65,Particularidade!B:B,0),2),"Ir para particularidadedes")</f>
        <v>Ir para particularidadedes</v>
      </c>
      <c r="D65" s="51" t="s">
        <v>926</v>
      </c>
      <c r="E65" s="51"/>
      <c r="F65" s="52" t="s">
        <v>614</v>
      </c>
      <c r="G65" s="53" t="s">
        <v>45</v>
      </c>
      <c r="H65" s="57" t="s">
        <v>50</v>
      </c>
      <c r="I65" s="57" t="s">
        <v>57</v>
      </c>
      <c r="J65" s="57">
        <v>21</v>
      </c>
      <c r="K65" s="57"/>
      <c r="L65" s="62" t="s">
        <v>75</v>
      </c>
      <c r="M65" s="56" t="s">
        <v>88</v>
      </c>
    </row>
    <row r="66" spans="1:14" x14ac:dyDescent="0.2">
      <c r="A66" s="37">
        <v>198</v>
      </c>
      <c r="B66" s="37" t="s">
        <v>928</v>
      </c>
      <c r="C66" s="50" t="str">
        <f>HYPERLINK("#Particularidade!"&amp;ADDRESS(MATCH(B66,Particularidade!B:B,0),2),"Ir para particularidadedes")</f>
        <v>Ir para particularidadedes</v>
      </c>
      <c r="D66" s="51" t="s">
        <v>927</v>
      </c>
      <c r="E66" s="51"/>
      <c r="F66" s="52" t="s">
        <v>614</v>
      </c>
      <c r="G66" s="134"/>
      <c r="H66" s="57" t="s">
        <v>52</v>
      </c>
      <c r="I66" s="57"/>
      <c r="J66" s="57"/>
      <c r="K66" s="57"/>
      <c r="L66" s="57"/>
      <c r="M66" s="138"/>
    </row>
    <row r="67" spans="1:14" ht="48" x14ac:dyDescent="0.2">
      <c r="A67" s="37">
        <v>211</v>
      </c>
      <c r="B67" s="36" t="s">
        <v>297</v>
      </c>
      <c r="C67" s="50" t="str">
        <f>HYPERLINK("#Particularidade!"&amp;ADDRESS(MATCH(B67,Particularidade!B:B,0),2),"Ir para particularidadedes")</f>
        <v>Ir para particularidadedes</v>
      </c>
      <c r="D67" s="51" t="s">
        <v>930</v>
      </c>
      <c r="E67" s="51" t="s">
        <v>929</v>
      </c>
      <c r="F67" s="51" t="s">
        <v>613</v>
      </c>
      <c r="G67" s="126" t="s">
        <v>46</v>
      </c>
      <c r="H67" s="57" t="s">
        <v>50</v>
      </c>
      <c r="I67" s="54" t="s">
        <v>59</v>
      </c>
      <c r="J67" s="57">
        <v>28</v>
      </c>
      <c r="K67" s="57"/>
      <c r="L67" s="63" t="s">
        <v>63</v>
      </c>
      <c r="M67" s="56" t="s">
        <v>89</v>
      </c>
    </row>
    <row r="68" spans="1:14" ht="48" x14ac:dyDescent="0.2">
      <c r="A68" s="37">
        <v>212</v>
      </c>
      <c r="B68" s="36" t="s">
        <v>931</v>
      </c>
      <c r="C68" s="50" t="str">
        <f>HYPERLINK("#Particularidade!"&amp;ADDRESS(MATCH(B68,Particularidade!B:B,0),2),"Ir para particularidadedes")</f>
        <v>Ir para particularidadedes</v>
      </c>
      <c r="D68" s="51" t="s">
        <v>932</v>
      </c>
      <c r="E68" s="51"/>
      <c r="F68" s="52" t="s">
        <v>614</v>
      </c>
      <c r="G68" s="134"/>
      <c r="H68" s="57" t="s">
        <v>52</v>
      </c>
      <c r="I68" s="57"/>
      <c r="J68" s="57"/>
      <c r="K68" s="57"/>
      <c r="L68" s="57" t="s">
        <v>63</v>
      </c>
      <c r="M68" s="56" t="s">
        <v>90</v>
      </c>
    </row>
    <row r="69" spans="1:14" ht="36" x14ac:dyDescent="0.2">
      <c r="A69" s="36">
        <v>221</v>
      </c>
      <c r="B69" s="36" t="s">
        <v>9</v>
      </c>
      <c r="C69" s="50" t="str">
        <f>HYPERLINK("#Particularidade!"&amp;ADDRESS(MATCH(B69,Particularidade!B:B,0),2),"Ir para particularidadedes")</f>
        <v>Ir para particularidadedes</v>
      </c>
      <c r="D69" s="51" t="s">
        <v>933</v>
      </c>
      <c r="E69" s="51"/>
      <c r="F69" s="52"/>
      <c r="G69" s="108"/>
      <c r="H69" s="54" t="s">
        <v>50</v>
      </c>
      <c r="I69" s="54"/>
      <c r="J69" s="54"/>
      <c r="K69" s="54"/>
      <c r="L69" s="54"/>
      <c r="M69" s="58" t="s">
        <v>91</v>
      </c>
    </row>
    <row r="70" spans="1:14" ht="36" x14ac:dyDescent="0.2">
      <c r="A70" s="37">
        <v>879</v>
      </c>
      <c r="B70" s="36" t="s">
        <v>33</v>
      </c>
      <c r="C70" s="50" t="str">
        <f>HYPERLINK("#Particularidade!"&amp;ADDRESS(MATCH(B70,Particularidade!B:B,0),2),"Ir para particularidadedes")</f>
        <v>Ir para particularidadedes</v>
      </c>
      <c r="D70" s="51" t="s">
        <v>1400</v>
      </c>
      <c r="E70" s="51" t="s">
        <v>1768</v>
      </c>
      <c r="F70" s="52" t="s">
        <v>613</v>
      </c>
      <c r="G70" s="53" t="s">
        <v>45</v>
      </c>
      <c r="H70" s="57" t="s">
        <v>41</v>
      </c>
      <c r="I70" s="54">
        <v>3</v>
      </c>
      <c r="J70" s="57">
        <v>5</v>
      </c>
      <c r="K70" s="57" t="s">
        <v>1689</v>
      </c>
      <c r="L70" s="55" t="s">
        <v>63</v>
      </c>
      <c r="M70" s="56" t="s">
        <v>1681</v>
      </c>
      <c r="N70" s="131" t="s">
        <v>1684</v>
      </c>
    </row>
    <row r="71" spans="1:14" ht="36" x14ac:dyDescent="0.2">
      <c r="A71" s="37">
        <v>231</v>
      </c>
      <c r="B71" s="36" t="s">
        <v>937</v>
      </c>
      <c r="C71" s="50" t="str">
        <f>HYPERLINK("#Particularidade!"&amp;ADDRESS(MATCH(B71,Particularidade!B:B,0),2),"Ir para particularidadedes")</f>
        <v>Ir para particularidadedes</v>
      </c>
      <c r="D71" s="51" t="s">
        <v>938</v>
      </c>
      <c r="E71" s="51"/>
      <c r="F71" s="52" t="s">
        <v>613</v>
      </c>
      <c r="G71" s="129" t="s">
        <v>1836</v>
      </c>
      <c r="H71" s="57" t="s">
        <v>39</v>
      </c>
      <c r="I71" s="57" t="s">
        <v>57</v>
      </c>
      <c r="J71" s="57">
        <v>21</v>
      </c>
      <c r="K71" s="57"/>
      <c r="L71" s="57" t="s">
        <v>63</v>
      </c>
      <c r="M71" s="56" t="s">
        <v>65</v>
      </c>
    </row>
    <row r="72" spans="1:14" ht="24" x14ac:dyDescent="0.2">
      <c r="A72" s="44">
        <v>684</v>
      </c>
      <c r="B72" s="36" t="s">
        <v>1712</v>
      </c>
      <c r="C72" s="50" t="e">
        <f>HYPERLINK("#Particularidade!"&amp;ADDRESS(MATCH(B72,Particularidade!B:B,0),2),"Ir para particularidadedes")</f>
        <v>#N/A</v>
      </c>
      <c r="D72" s="51" t="s">
        <v>1459</v>
      </c>
      <c r="E72" s="51" t="s">
        <v>1458</v>
      </c>
      <c r="F72" s="52" t="s">
        <v>614</v>
      </c>
      <c r="G72" s="53" t="s">
        <v>45</v>
      </c>
      <c r="H72" s="44" t="s">
        <v>41</v>
      </c>
      <c r="I72" s="44">
        <v>1</v>
      </c>
      <c r="J72" s="44">
        <v>3</v>
      </c>
      <c r="K72" s="44" t="s">
        <v>1689</v>
      </c>
      <c r="L72" s="44" t="s">
        <v>63</v>
      </c>
      <c r="M72" s="68" t="s">
        <v>1781</v>
      </c>
      <c r="N72" s="131"/>
    </row>
    <row r="73" spans="1:14" ht="36" x14ac:dyDescent="0.2">
      <c r="A73" s="37">
        <v>234</v>
      </c>
      <c r="B73" s="36" t="s">
        <v>10</v>
      </c>
      <c r="C73" s="50" t="str">
        <f>HYPERLINK("#Particularidade!"&amp;ADDRESS(MATCH(B73,Particularidade!B:B,0),2),"Ir para particularidadedes")</f>
        <v>Ir para particularidadedes</v>
      </c>
      <c r="D73" s="51" t="s">
        <v>941</v>
      </c>
      <c r="E73" s="51"/>
      <c r="F73" s="52" t="s">
        <v>613</v>
      </c>
      <c r="G73" s="129" t="s">
        <v>1836</v>
      </c>
      <c r="H73" s="57" t="s">
        <v>39</v>
      </c>
      <c r="I73" s="57" t="s">
        <v>57</v>
      </c>
      <c r="J73" s="57">
        <v>21</v>
      </c>
      <c r="K73" s="57"/>
      <c r="L73" s="57" t="s">
        <v>63</v>
      </c>
      <c r="M73" s="56" t="s">
        <v>65</v>
      </c>
    </row>
    <row r="74" spans="1:14" x14ac:dyDescent="0.2">
      <c r="A74" s="89">
        <v>236</v>
      </c>
      <c r="B74" s="37" t="s">
        <v>942</v>
      </c>
      <c r="C74" s="50" t="str">
        <f>HYPERLINK("#Particularidade!"&amp;ADDRESS(MATCH(B74,Particularidade!B:B,0),2),"Ir para particularidadedes")</f>
        <v>Ir para particularidadedes</v>
      </c>
      <c r="D74" s="51" t="s">
        <v>943</v>
      </c>
      <c r="E74" s="51"/>
      <c r="F74" s="52" t="s">
        <v>614</v>
      </c>
      <c r="G74" s="134"/>
      <c r="H74" s="57" t="s">
        <v>52</v>
      </c>
      <c r="I74" s="57"/>
      <c r="J74" s="57"/>
      <c r="K74" s="57"/>
      <c r="L74" s="57" t="s">
        <v>63</v>
      </c>
      <c r="M74" s="56" t="s">
        <v>92</v>
      </c>
    </row>
    <row r="75" spans="1:14" ht="36" x14ac:dyDescent="0.2">
      <c r="A75" s="37">
        <v>237</v>
      </c>
      <c r="B75" s="36" t="s">
        <v>944</v>
      </c>
      <c r="C75" s="50" t="str">
        <f>HYPERLINK("#Particularidade!"&amp;ADDRESS(MATCH(B75,Particularidade!B:B,0),2),"Ir para particularidadedes")</f>
        <v>Ir para particularidadedes</v>
      </c>
      <c r="D75" s="51" t="s">
        <v>945</v>
      </c>
      <c r="E75" s="51"/>
      <c r="F75" s="52" t="s">
        <v>613</v>
      </c>
      <c r="G75" s="134"/>
      <c r="H75" s="57" t="s">
        <v>50</v>
      </c>
      <c r="I75" s="57"/>
      <c r="J75" s="57">
        <v>21</v>
      </c>
      <c r="K75" s="57"/>
      <c r="L75" s="57" t="s">
        <v>63</v>
      </c>
      <c r="M75" s="56" t="s">
        <v>1735</v>
      </c>
    </row>
    <row r="76" spans="1:14" ht="36" x14ac:dyDescent="0.2">
      <c r="A76" s="36">
        <v>805</v>
      </c>
      <c r="B76" s="36" t="s">
        <v>1636</v>
      </c>
      <c r="C76" s="50" t="str">
        <f>HYPERLINK("#Particularidade!"&amp;ADDRESS(MATCH(B76,Particularidade!B:B,0),2),"Ir para particularidadedes")</f>
        <v>Ir para particularidadedes</v>
      </c>
      <c r="D76" s="51" t="s">
        <v>1634</v>
      </c>
      <c r="E76" s="51" t="s">
        <v>1635</v>
      </c>
      <c r="F76" s="52" t="s">
        <v>614</v>
      </c>
      <c r="G76" s="53" t="s">
        <v>45</v>
      </c>
      <c r="H76" s="57" t="s">
        <v>41</v>
      </c>
      <c r="I76" s="76">
        <v>3</v>
      </c>
      <c r="J76" s="78">
        <v>3</v>
      </c>
      <c r="K76" s="76" t="s">
        <v>1689</v>
      </c>
      <c r="L76" s="63" t="s">
        <v>63</v>
      </c>
      <c r="M76" s="56" t="s">
        <v>188</v>
      </c>
      <c r="N76" s="131" t="s">
        <v>1687</v>
      </c>
    </row>
    <row r="77" spans="1:14" x14ac:dyDescent="0.2">
      <c r="A77" s="37">
        <v>251</v>
      </c>
      <c r="B77" s="36" t="s">
        <v>950</v>
      </c>
      <c r="C77" s="50" t="str">
        <f>HYPERLINK("#Particularidade!"&amp;ADDRESS(MATCH(B77,Particularidade!B:B,0),2),"Ir para particularidadedes")</f>
        <v>Ir para particularidadedes</v>
      </c>
      <c r="D77" s="51" t="s">
        <v>951</v>
      </c>
      <c r="E77" s="51"/>
      <c r="F77" s="52" t="s">
        <v>614</v>
      </c>
      <c r="G77" s="134"/>
      <c r="H77" s="57" t="s">
        <v>52</v>
      </c>
      <c r="I77" s="57"/>
      <c r="J77" s="57"/>
      <c r="K77" s="57"/>
      <c r="L77" s="57"/>
      <c r="M77" s="56"/>
    </row>
    <row r="78" spans="1:14" ht="60" x14ac:dyDescent="0.2">
      <c r="A78" s="37">
        <v>252</v>
      </c>
      <c r="B78" s="36" t="s">
        <v>954</v>
      </c>
      <c r="C78" s="50" t="str">
        <f>HYPERLINK("#Particularidade!"&amp;ADDRESS(MATCH(B78,Particularidade!B:B,0),2),"Ir para particularidadedes")</f>
        <v>Ir para particularidadedes</v>
      </c>
      <c r="D78" s="51" t="s">
        <v>953</v>
      </c>
      <c r="E78" s="51" t="s">
        <v>952</v>
      </c>
      <c r="F78" s="52" t="s">
        <v>613</v>
      </c>
      <c r="G78" s="126" t="s">
        <v>46</v>
      </c>
      <c r="H78" s="57" t="s">
        <v>41</v>
      </c>
      <c r="I78" s="54">
        <v>5</v>
      </c>
      <c r="J78" s="57">
        <v>3</v>
      </c>
      <c r="K78" s="57"/>
      <c r="L78" s="63" t="s">
        <v>63</v>
      </c>
      <c r="M78" s="56" t="s">
        <v>94</v>
      </c>
      <c r="N78" s="131" t="s">
        <v>1683</v>
      </c>
    </row>
    <row r="79" spans="1:14" ht="36" x14ac:dyDescent="0.2">
      <c r="A79" s="39">
        <v>495</v>
      </c>
      <c r="B79" s="40" t="s">
        <v>1176</v>
      </c>
      <c r="C79" s="50" t="str">
        <f>HYPERLINK("#Particularidade!"&amp;ADDRESS(MATCH(B79,Particularidade!B:B,0),2),"Ir para particularidadedes")</f>
        <v>Ir para particularidadedes</v>
      </c>
      <c r="D79" s="197" t="s">
        <v>1174</v>
      </c>
      <c r="E79" s="198" t="s">
        <v>1175</v>
      </c>
      <c r="F79" s="52" t="s">
        <v>614</v>
      </c>
      <c r="G79" s="53" t="s">
        <v>45</v>
      </c>
      <c r="H79" s="54" t="s">
        <v>41</v>
      </c>
      <c r="I79" s="54">
        <v>2</v>
      </c>
      <c r="J79" s="57">
        <v>28</v>
      </c>
      <c r="K79" s="57" t="s">
        <v>1684</v>
      </c>
      <c r="L79" s="54" t="s">
        <v>63</v>
      </c>
      <c r="M79" s="56" t="s">
        <v>133</v>
      </c>
      <c r="N79" s="131" t="s">
        <v>1687</v>
      </c>
    </row>
    <row r="80" spans="1:14" ht="72" x14ac:dyDescent="0.2">
      <c r="A80" s="37">
        <v>256</v>
      </c>
      <c r="B80" s="36" t="s">
        <v>959</v>
      </c>
      <c r="C80" s="50" t="str">
        <f>HYPERLINK("#Particularidade!"&amp;ADDRESS(MATCH(B80,Particularidade!B:B,0),2),"Ir para particularidadedes")</f>
        <v>Ir para particularidadedes</v>
      </c>
      <c r="D80" s="51" t="s">
        <v>960</v>
      </c>
      <c r="E80" s="51" t="s">
        <v>958</v>
      </c>
      <c r="F80" s="51" t="s">
        <v>613</v>
      </c>
      <c r="G80" s="126" t="s">
        <v>46</v>
      </c>
      <c r="H80" s="57" t="s">
        <v>50</v>
      </c>
      <c r="I80" s="54">
        <v>5</v>
      </c>
      <c r="J80" s="57">
        <v>26</v>
      </c>
      <c r="K80" s="57"/>
      <c r="L80" s="57" t="s">
        <v>63</v>
      </c>
      <c r="M80" s="56" t="s">
        <v>96</v>
      </c>
    </row>
    <row r="81" spans="1:14" ht="36" x14ac:dyDescent="0.2">
      <c r="A81" s="36">
        <v>829</v>
      </c>
      <c r="B81" s="36" t="s">
        <v>1594</v>
      </c>
      <c r="C81" s="50" t="str">
        <f>HYPERLINK("#Particularidade!"&amp;ADDRESS(MATCH(B81,Particularidade!B:B,0),2),"Ir para particularidadedes")</f>
        <v>Ir para particularidadedes</v>
      </c>
      <c r="D81" s="51" t="s">
        <v>1593</v>
      </c>
      <c r="E81" s="122" t="s">
        <v>1581</v>
      </c>
      <c r="F81" s="52" t="s">
        <v>949</v>
      </c>
      <c r="G81" s="53" t="s">
        <v>45</v>
      </c>
      <c r="H81" s="57" t="s">
        <v>41</v>
      </c>
      <c r="I81" s="76">
        <v>1</v>
      </c>
      <c r="J81" s="77">
        <v>30</v>
      </c>
      <c r="K81" s="77" t="s">
        <v>1684</v>
      </c>
      <c r="L81" s="125" t="s">
        <v>78</v>
      </c>
      <c r="M81" s="60" t="s">
        <v>1699</v>
      </c>
      <c r="N81" s="131" t="s">
        <v>1687</v>
      </c>
    </row>
    <row r="82" spans="1:14" x14ac:dyDescent="0.2">
      <c r="A82" s="37">
        <v>258</v>
      </c>
      <c r="B82" s="37" t="s">
        <v>965</v>
      </c>
      <c r="C82" s="50" t="str">
        <f>HYPERLINK("#Particularidade!"&amp;ADDRESS(MATCH(B82,Particularidade!B:B,0),2),"Ir para particularidadedes")</f>
        <v>Ir para particularidadedes</v>
      </c>
      <c r="D82" s="51" t="s">
        <v>966</v>
      </c>
      <c r="E82" s="51"/>
      <c r="F82" s="52" t="s">
        <v>964</v>
      </c>
      <c r="G82" s="134"/>
      <c r="H82" s="57" t="s">
        <v>52</v>
      </c>
      <c r="I82" s="57"/>
      <c r="J82" s="57"/>
      <c r="K82" s="57"/>
      <c r="L82" s="57"/>
      <c r="M82" s="138"/>
    </row>
    <row r="83" spans="1:14" ht="36" x14ac:dyDescent="0.2">
      <c r="A83" s="37">
        <v>896</v>
      </c>
      <c r="B83" s="36" t="s">
        <v>652</v>
      </c>
      <c r="C83" s="50" t="str">
        <f>HYPERLINK("#Particularidade!"&amp;ADDRESS(MATCH(B83,Particularidade!B:B,0),2),"Ir para particularidadedes")</f>
        <v>Ir para particularidadedes</v>
      </c>
      <c r="D83" s="51" t="s">
        <v>1304</v>
      </c>
      <c r="E83" s="51"/>
      <c r="F83" s="52" t="s">
        <v>613</v>
      </c>
      <c r="G83" s="53" t="s">
        <v>45</v>
      </c>
      <c r="H83" s="57" t="s">
        <v>41</v>
      </c>
      <c r="I83" s="54">
        <v>5</v>
      </c>
      <c r="J83" s="57">
        <v>3</v>
      </c>
      <c r="K83" s="57" t="s">
        <v>1689</v>
      </c>
      <c r="L83" s="55" t="s">
        <v>63</v>
      </c>
      <c r="M83" s="56" t="s">
        <v>1705</v>
      </c>
      <c r="N83" s="131" t="s">
        <v>1684</v>
      </c>
    </row>
    <row r="84" spans="1:14" ht="36" x14ac:dyDescent="0.2">
      <c r="A84" s="39">
        <v>378</v>
      </c>
      <c r="B84" s="40" t="s">
        <v>371</v>
      </c>
      <c r="C84" s="50" t="str">
        <f>HYPERLINK("#Particularidade!"&amp;ADDRESS(MATCH(B84,Particularidade!B:B,0),2),"Ir para particularidadedes")</f>
        <v>Ir para particularidadedes</v>
      </c>
      <c r="D84" s="51" t="s">
        <v>1033</v>
      </c>
      <c r="E84" s="51" t="s">
        <v>1032</v>
      </c>
      <c r="F84" s="52" t="s">
        <v>613</v>
      </c>
      <c r="G84" s="53" t="s">
        <v>45</v>
      </c>
      <c r="H84" s="57" t="s">
        <v>41</v>
      </c>
      <c r="I84" s="54">
        <v>2</v>
      </c>
      <c r="J84" s="57">
        <v>28</v>
      </c>
      <c r="K84" s="57" t="s">
        <v>1684</v>
      </c>
      <c r="L84" s="54" t="s">
        <v>63</v>
      </c>
      <c r="M84" s="60" t="s">
        <v>109</v>
      </c>
      <c r="N84" s="131" t="s">
        <v>1683</v>
      </c>
    </row>
    <row r="85" spans="1:14" x14ac:dyDescent="0.2">
      <c r="A85" s="37">
        <v>267</v>
      </c>
      <c r="B85" s="37" t="s">
        <v>973</v>
      </c>
      <c r="C85" s="50" t="str">
        <f>HYPERLINK("#Particularidade!"&amp;ADDRESS(MATCH(B85,Particularidade!B:B,0),2),"Ir para particularidadedes")</f>
        <v>Ir para particularidadedes</v>
      </c>
      <c r="D85" s="51" t="s">
        <v>974</v>
      </c>
      <c r="E85" s="51"/>
      <c r="F85" s="52" t="s">
        <v>54</v>
      </c>
      <c r="G85" s="134"/>
      <c r="H85" s="57" t="s">
        <v>52</v>
      </c>
      <c r="I85" s="57"/>
      <c r="J85" s="57"/>
      <c r="K85" s="57"/>
      <c r="L85" s="57"/>
      <c r="M85" s="138"/>
    </row>
    <row r="86" spans="1:14" ht="36" x14ac:dyDescent="0.2">
      <c r="A86" s="37">
        <v>269</v>
      </c>
      <c r="B86" s="36" t="s">
        <v>975</v>
      </c>
      <c r="C86" s="50" t="str">
        <f>HYPERLINK("#Particularidade!"&amp;ADDRESS(MATCH(B86,Particularidade!B:B,0),2),"Ir para particularidadedes")</f>
        <v>Ir para particularidadedes</v>
      </c>
      <c r="D86" s="51" t="s">
        <v>976</v>
      </c>
      <c r="E86" s="51"/>
      <c r="F86" s="52" t="s">
        <v>613</v>
      </c>
      <c r="G86" s="129" t="s">
        <v>1836</v>
      </c>
      <c r="H86" s="57" t="s">
        <v>39</v>
      </c>
      <c r="I86" s="57" t="s">
        <v>57</v>
      </c>
      <c r="J86" s="57">
        <v>21</v>
      </c>
      <c r="K86" s="57"/>
      <c r="L86" s="57" t="s">
        <v>63</v>
      </c>
      <c r="M86" s="56" t="s">
        <v>65</v>
      </c>
    </row>
    <row r="87" spans="1:14" ht="36" x14ac:dyDescent="0.2">
      <c r="A87" s="36">
        <v>836</v>
      </c>
      <c r="B87" s="36" t="s">
        <v>1578</v>
      </c>
      <c r="C87" s="50" t="str">
        <f>HYPERLINK("#Particularidade!"&amp;ADDRESS(MATCH(B87,Particularidade!B:B,0),2),"Ir para particularidadedes")</f>
        <v>Ir para particularidadedes</v>
      </c>
      <c r="D87" s="51" t="s">
        <v>1577</v>
      </c>
      <c r="E87" s="51" t="s">
        <v>1576</v>
      </c>
      <c r="F87" s="52" t="s">
        <v>613</v>
      </c>
      <c r="G87" s="53" t="s">
        <v>45</v>
      </c>
      <c r="H87" s="57" t="s">
        <v>41</v>
      </c>
      <c r="I87" s="76">
        <v>2</v>
      </c>
      <c r="J87" s="82">
        <v>30</v>
      </c>
      <c r="K87" s="82" t="s">
        <v>1689</v>
      </c>
      <c r="L87" s="77" t="s">
        <v>63</v>
      </c>
      <c r="M87" s="56" t="s">
        <v>1540</v>
      </c>
      <c r="N87" s="131" t="s">
        <v>1684</v>
      </c>
    </row>
    <row r="88" spans="1:14" ht="36" x14ac:dyDescent="0.2">
      <c r="A88" s="37">
        <v>285</v>
      </c>
      <c r="B88" s="36" t="s">
        <v>11</v>
      </c>
      <c r="C88" s="50" t="str">
        <f>HYPERLINK("#Particularidade!"&amp;ADDRESS(MATCH(B88,Particularidade!B:B,0),2),"Ir para particularidadedes")</f>
        <v>Ir para particularidadedes</v>
      </c>
      <c r="D88" s="51" t="s">
        <v>979</v>
      </c>
      <c r="E88" s="51"/>
      <c r="F88" s="52" t="s">
        <v>613</v>
      </c>
      <c r="G88" s="134"/>
      <c r="H88" s="57" t="s">
        <v>50</v>
      </c>
      <c r="I88" s="57"/>
      <c r="J88" s="57"/>
      <c r="K88" s="57"/>
      <c r="L88" s="57" t="s">
        <v>63</v>
      </c>
      <c r="M88" s="56" t="s">
        <v>83</v>
      </c>
    </row>
    <row r="89" spans="1:14" ht="36" x14ac:dyDescent="0.2">
      <c r="A89" s="37">
        <v>296</v>
      </c>
      <c r="B89" s="36" t="s">
        <v>980</v>
      </c>
      <c r="C89" s="50" t="str">
        <f>HYPERLINK("#Particularidade!"&amp;ADDRESS(MATCH(B89,Particularidade!B:B,0),2),"Ir para particularidadedes")</f>
        <v>Ir para particularidadedes</v>
      </c>
      <c r="D89" s="51" t="s">
        <v>981</v>
      </c>
      <c r="E89" s="51"/>
      <c r="F89" s="52" t="s">
        <v>613</v>
      </c>
      <c r="G89" s="129" t="s">
        <v>1836</v>
      </c>
      <c r="H89" s="57" t="s">
        <v>39</v>
      </c>
      <c r="I89" s="57" t="s">
        <v>57</v>
      </c>
      <c r="J89" s="57">
        <v>21</v>
      </c>
      <c r="K89" s="57"/>
      <c r="L89" s="57" t="s">
        <v>63</v>
      </c>
      <c r="M89" s="56" t="s">
        <v>99</v>
      </c>
    </row>
    <row r="90" spans="1:14" ht="60" x14ac:dyDescent="0.2">
      <c r="A90" s="37">
        <v>297</v>
      </c>
      <c r="B90" s="36" t="s">
        <v>984</v>
      </c>
      <c r="C90" s="50" t="str">
        <f>HYPERLINK("#Particularidade!"&amp;ADDRESS(MATCH(B90,Particularidade!B:B,0),2),"Ir para particularidadedes")</f>
        <v>Ir para particularidadedes</v>
      </c>
      <c r="D90" s="51" t="s">
        <v>983</v>
      </c>
      <c r="E90" s="51" t="s">
        <v>982</v>
      </c>
      <c r="F90" s="52" t="s">
        <v>614</v>
      </c>
      <c r="G90" s="137" t="s">
        <v>46</v>
      </c>
      <c r="H90" s="54" t="s">
        <v>41</v>
      </c>
      <c r="I90" s="54">
        <v>7</v>
      </c>
      <c r="J90" s="57">
        <v>30</v>
      </c>
      <c r="K90" s="57"/>
      <c r="L90" s="124" t="s">
        <v>78</v>
      </c>
      <c r="M90" s="56" t="s">
        <v>100</v>
      </c>
      <c r="N90" s="131"/>
    </row>
    <row r="91" spans="1:14" x14ac:dyDescent="0.2">
      <c r="A91" s="37">
        <v>307</v>
      </c>
      <c r="B91" s="36" t="s">
        <v>986</v>
      </c>
      <c r="C91" s="50" t="str">
        <f>HYPERLINK("#Particularidade!"&amp;ADDRESS(MATCH(B91,Particularidade!B:B,0),2),"Ir para particularidadedes")</f>
        <v>Ir para particularidadedes</v>
      </c>
      <c r="D91" s="51" t="s">
        <v>985</v>
      </c>
      <c r="E91" s="51"/>
      <c r="F91" s="52" t="s">
        <v>613</v>
      </c>
      <c r="G91" s="134"/>
      <c r="H91" s="54" t="s">
        <v>52</v>
      </c>
      <c r="I91" s="54"/>
      <c r="J91" s="57"/>
      <c r="K91" s="57"/>
      <c r="L91" s="57"/>
      <c r="M91" s="56"/>
    </row>
    <row r="92" spans="1:14" ht="48" x14ac:dyDescent="0.2">
      <c r="A92" s="37">
        <v>306</v>
      </c>
      <c r="B92" s="36" t="s">
        <v>988</v>
      </c>
      <c r="C92" s="50" t="str">
        <f>HYPERLINK("#Particularidade!"&amp;ADDRESS(MATCH(B92,Particularidade!B:B,0),2),"Ir para particularidadedes")</f>
        <v>Ir para particularidadedes</v>
      </c>
      <c r="D92" s="51" t="s">
        <v>987</v>
      </c>
      <c r="E92" s="51"/>
      <c r="F92" s="52" t="s">
        <v>613</v>
      </c>
      <c r="G92" s="134"/>
      <c r="H92" s="54" t="s">
        <v>52</v>
      </c>
      <c r="I92" s="54"/>
      <c r="J92" s="57">
        <v>28</v>
      </c>
      <c r="K92" s="57"/>
      <c r="L92" s="57" t="s">
        <v>63</v>
      </c>
      <c r="M92" s="56" t="s">
        <v>101</v>
      </c>
    </row>
    <row r="93" spans="1:14" x14ac:dyDescent="0.2">
      <c r="A93" s="37">
        <v>309</v>
      </c>
      <c r="B93" s="36" t="s">
        <v>989</v>
      </c>
      <c r="C93" s="50" t="str">
        <f>HYPERLINK("#Particularidade!"&amp;ADDRESS(MATCH(B93,Particularidade!B:B,0),2),"Ir para particularidadedes")</f>
        <v>Ir para particularidadedes</v>
      </c>
      <c r="D93" s="51" t="s">
        <v>990</v>
      </c>
      <c r="E93" s="51"/>
      <c r="F93" s="52" t="s">
        <v>54</v>
      </c>
      <c r="G93" s="134"/>
      <c r="H93" s="57" t="s">
        <v>52</v>
      </c>
      <c r="I93" s="57"/>
      <c r="J93" s="57"/>
      <c r="K93" s="57"/>
      <c r="L93" s="57" t="s">
        <v>67</v>
      </c>
      <c r="M93" s="56"/>
    </row>
    <row r="94" spans="1:14" ht="48" x14ac:dyDescent="0.2">
      <c r="A94" s="37">
        <v>310</v>
      </c>
      <c r="B94" s="36" t="s">
        <v>993</v>
      </c>
      <c r="C94" s="50" t="str">
        <f>HYPERLINK("#Particularidade!"&amp;ADDRESS(MATCH(B94,Particularidade!B:B,0),2),"Ir para particularidadedes")</f>
        <v>Ir para particularidadedes</v>
      </c>
      <c r="D94" s="51" t="s">
        <v>992</v>
      </c>
      <c r="E94" s="51" t="s">
        <v>991</v>
      </c>
      <c r="F94" s="51" t="s">
        <v>613</v>
      </c>
      <c r="G94" s="126" t="s">
        <v>46</v>
      </c>
      <c r="H94" s="57" t="s">
        <v>41</v>
      </c>
      <c r="I94" s="54">
        <v>6</v>
      </c>
      <c r="J94" s="57">
        <v>28</v>
      </c>
      <c r="K94" s="57"/>
      <c r="L94" s="63" t="s">
        <v>63</v>
      </c>
      <c r="M94" s="56" t="s">
        <v>1686</v>
      </c>
      <c r="N94" s="131"/>
    </row>
    <row r="95" spans="1:14" ht="36" x14ac:dyDescent="0.2">
      <c r="A95" s="37">
        <v>311</v>
      </c>
      <c r="B95" s="36" t="s">
        <v>12</v>
      </c>
      <c r="C95" s="50" t="str">
        <f>HYPERLINK("#Particularidade!"&amp;ADDRESS(MATCH(B95,Particularidade!B:B,0),2),"Ir para particularidadedes")</f>
        <v>Ir para particularidadedes</v>
      </c>
      <c r="D95" s="51" t="s">
        <v>994</v>
      </c>
      <c r="E95" s="51"/>
      <c r="F95" s="52" t="s">
        <v>613</v>
      </c>
      <c r="G95" s="129" t="s">
        <v>1836</v>
      </c>
      <c r="H95" s="57" t="s">
        <v>39</v>
      </c>
      <c r="I95" s="57" t="s">
        <v>57</v>
      </c>
      <c r="J95" s="57">
        <v>21</v>
      </c>
      <c r="K95" s="57"/>
      <c r="L95" s="57" t="s">
        <v>63</v>
      </c>
      <c r="M95" s="56" t="s">
        <v>1736</v>
      </c>
    </row>
    <row r="96" spans="1:14" ht="60" x14ac:dyDescent="0.2">
      <c r="A96" s="37">
        <v>312</v>
      </c>
      <c r="B96" s="36" t="s">
        <v>996</v>
      </c>
      <c r="C96" s="50" t="str">
        <f>HYPERLINK("#Particularidade!"&amp;ADDRESS(MATCH(B96,Particularidade!B:B,0),2),"Ir para particularidadedes")</f>
        <v>Ir para particularidadedes</v>
      </c>
      <c r="D96" s="51" t="s">
        <v>997</v>
      </c>
      <c r="E96" s="51"/>
      <c r="F96" s="52" t="s">
        <v>614</v>
      </c>
      <c r="G96" s="129" t="s">
        <v>1836</v>
      </c>
      <c r="H96" s="57" t="s">
        <v>39</v>
      </c>
      <c r="I96" s="57" t="s">
        <v>57</v>
      </c>
      <c r="J96" s="57">
        <v>21</v>
      </c>
      <c r="K96" s="57"/>
      <c r="L96" s="57" t="s">
        <v>63</v>
      </c>
      <c r="M96" s="56" t="s">
        <v>102</v>
      </c>
      <c r="N96" s="119" t="s">
        <v>995</v>
      </c>
    </row>
    <row r="97" spans="1:14" ht="36" x14ac:dyDescent="0.2">
      <c r="A97" s="37">
        <v>315</v>
      </c>
      <c r="B97" s="36" t="s">
        <v>998</v>
      </c>
      <c r="C97" s="50" t="str">
        <f>HYPERLINK("#Particularidade!"&amp;ADDRESS(MATCH(B97,Particularidade!B:B,0),2),"Ir para particularidadedes")</f>
        <v>Ir para particularidadedes</v>
      </c>
      <c r="D97" s="51" t="s">
        <v>999</v>
      </c>
      <c r="E97" s="51"/>
      <c r="F97" s="52" t="s">
        <v>613</v>
      </c>
      <c r="G97" s="129" t="s">
        <v>1836</v>
      </c>
      <c r="H97" s="57" t="s">
        <v>39</v>
      </c>
      <c r="I97" s="57" t="s">
        <v>57</v>
      </c>
      <c r="J97" s="57">
        <v>21</v>
      </c>
      <c r="K97" s="57"/>
      <c r="L97" s="57" t="s">
        <v>63</v>
      </c>
      <c r="M97" s="56" t="s">
        <v>1737</v>
      </c>
    </row>
    <row r="98" spans="1:14" ht="48" x14ac:dyDescent="0.2">
      <c r="A98" s="37">
        <v>316</v>
      </c>
      <c r="B98" s="36" t="s">
        <v>1000</v>
      </c>
      <c r="C98" s="50" t="str">
        <f>HYPERLINK("#Particularidade!"&amp;ADDRESS(MATCH(B98,Particularidade!B:B,0),2),"Ir para particularidadedes")</f>
        <v>Ir para particularidadedes</v>
      </c>
      <c r="D98" s="51" t="s">
        <v>1001</v>
      </c>
      <c r="E98" s="51"/>
      <c r="F98" s="52" t="s">
        <v>613</v>
      </c>
      <c r="G98" s="129" t="s">
        <v>1836</v>
      </c>
      <c r="H98" s="57" t="s">
        <v>39</v>
      </c>
      <c r="I98" s="57" t="s">
        <v>57</v>
      </c>
      <c r="J98" s="57">
        <v>21</v>
      </c>
      <c r="K98" s="57"/>
      <c r="L98" s="57" t="s">
        <v>63</v>
      </c>
      <c r="M98" s="56" t="s">
        <v>1738</v>
      </c>
    </row>
    <row r="99" spans="1:14" ht="36" x14ac:dyDescent="0.2">
      <c r="A99" s="37">
        <v>323</v>
      </c>
      <c r="B99" s="36" t="s">
        <v>1002</v>
      </c>
      <c r="C99" s="50" t="str">
        <f>HYPERLINK("#Particularidade!"&amp;ADDRESS(MATCH(B99,Particularidade!B:B,0),2),"Ir para particularidadedes")</f>
        <v>Ir para particularidadedes</v>
      </c>
      <c r="D99" s="51" t="s">
        <v>1003</v>
      </c>
      <c r="E99" s="51"/>
      <c r="F99" s="52" t="s">
        <v>614</v>
      </c>
      <c r="G99" s="129" t="s">
        <v>1836</v>
      </c>
      <c r="H99" s="57" t="s">
        <v>39</v>
      </c>
      <c r="I99" s="57" t="s">
        <v>57</v>
      </c>
      <c r="J99" s="57">
        <v>21</v>
      </c>
      <c r="K99" s="57"/>
      <c r="L99" s="57" t="s">
        <v>63</v>
      </c>
      <c r="M99" s="56" t="s">
        <v>65</v>
      </c>
    </row>
    <row r="100" spans="1:14" ht="36" x14ac:dyDescent="0.2">
      <c r="A100" s="37">
        <v>329</v>
      </c>
      <c r="B100" s="36" t="s">
        <v>1005</v>
      </c>
      <c r="C100" s="50" t="str">
        <f>HYPERLINK("#Particularidade!"&amp;ADDRESS(MATCH(B100,Particularidade!B:B,0),2),"Ir para particularidadedes")</f>
        <v>Ir para particularidadedes</v>
      </c>
      <c r="D100" s="51" t="s">
        <v>1004</v>
      </c>
      <c r="E100" s="51"/>
      <c r="F100" s="52" t="s">
        <v>614</v>
      </c>
      <c r="G100" s="53" t="s">
        <v>45</v>
      </c>
      <c r="H100" s="57" t="s">
        <v>50</v>
      </c>
      <c r="I100" s="57"/>
      <c r="J100" s="57"/>
      <c r="K100" s="57"/>
      <c r="L100" s="57"/>
      <c r="M100" s="56" t="s">
        <v>103</v>
      </c>
    </row>
    <row r="101" spans="1:14" ht="36" x14ac:dyDescent="0.2">
      <c r="A101" s="37">
        <v>338</v>
      </c>
      <c r="B101" s="36" t="s">
        <v>1006</v>
      </c>
      <c r="C101" s="50" t="str">
        <f>HYPERLINK("#Particularidade!"&amp;ADDRESS(MATCH(B101,Particularidade!B:B,0),2),"Ir para particularidadedes")</f>
        <v>Ir para particularidadedes</v>
      </c>
      <c r="D101" s="51" t="s">
        <v>1007</v>
      </c>
      <c r="E101" s="51"/>
      <c r="F101" s="52" t="s">
        <v>613</v>
      </c>
      <c r="G101" s="53" t="s">
        <v>45</v>
      </c>
      <c r="H101" s="57" t="s">
        <v>50</v>
      </c>
      <c r="I101" s="57"/>
      <c r="J101" s="57">
        <v>21</v>
      </c>
      <c r="K101" s="57"/>
      <c r="L101" s="57" t="s">
        <v>63</v>
      </c>
      <c r="M101" s="56" t="s">
        <v>625</v>
      </c>
    </row>
    <row r="102" spans="1:14" x14ac:dyDescent="0.2">
      <c r="A102" s="37">
        <v>339</v>
      </c>
      <c r="B102" s="36" t="s">
        <v>1009</v>
      </c>
      <c r="C102" s="50" t="str">
        <f>HYPERLINK("#Particularidade!"&amp;ADDRESS(MATCH(B102,Particularidade!B:B,0),2),"Ir para particularidadedes")</f>
        <v>Ir para particularidadedes</v>
      </c>
      <c r="D102" s="51" t="s">
        <v>1008</v>
      </c>
      <c r="E102" s="51"/>
      <c r="F102" s="52" t="s">
        <v>613</v>
      </c>
      <c r="G102" s="134"/>
      <c r="H102" s="57" t="s">
        <v>52</v>
      </c>
      <c r="I102" s="57"/>
      <c r="J102" s="57"/>
      <c r="K102" s="57"/>
      <c r="L102" s="57"/>
      <c r="M102" s="56"/>
    </row>
    <row r="103" spans="1:14" x14ac:dyDescent="0.2">
      <c r="A103" s="37">
        <v>340</v>
      </c>
      <c r="B103" s="37" t="s">
        <v>1011</v>
      </c>
      <c r="C103" s="50" t="str">
        <f>HYPERLINK("#Particularidade!"&amp;ADDRESS(MATCH(B103,Particularidade!B:B,0),2),"Ir para particularidadedes")</f>
        <v>Ir para particularidadedes</v>
      </c>
      <c r="D103" s="51" t="s">
        <v>1010</v>
      </c>
      <c r="E103" s="51"/>
      <c r="F103" s="52" t="s">
        <v>613</v>
      </c>
      <c r="G103" s="134"/>
      <c r="H103" s="57" t="s">
        <v>52</v>
      </c>
      <c r="I103" s="57"/>
      <c r="J103" s="57"/>
      <c r="K103" s="57"/>
      <c r="L103" s="57"/>
      <c r="M103" s="138"/>
    </row>
    <row r="104" spans="1:14" ht="60" x14ac:dyDescent="0.2">
      <c r="A104" s="37">
        <v>341</v>
      </c>
      <c r="B104" s="36" t="s">
        <v>13</v>
      </c>
      <c r="C104" s="50" t="str">
        <f>HYPERLINK("#Particularidade!"&amp;ADDRESS(MATCH(B104,Particularidade!B:B,0),2),"Ir para particularidadedes")</f>
        <v>Ir para particularidadedes</v>
      </c>
      <c r="D104" s="51" t="s">
        <v>1012</v>
      </c>
      <c r="E104" s="51"/>
      <c r="F104" s="52" t="s">
        <v>613</v>
      </c>
      <c r="G104" s="129" t="s">
        <v>46</v>
      </c>
      <c r="H104" s="57" t="s">
        <v>50</v>
      </c>
      <c r="I104" s="140">
        <v>2</v>
      </c>
      <c r="J104" s="140">
        <v>28</v>
      </c>
      <c r="K104" s="140"/>
      <c r="L104" s="59" t="s">
        <v>63</v>
      </c>
      <c r="M104" s="56" t="s">
        <v>104</v>
      </c>
    </row>
    <row r="105" spans="1:14" ht="84" x14ac:dyDescent="0.2">
      <c r="A105" s="37">
        <v>342</v>
      </c>
      <c r="B105" s="36" t="s">
        <v>1013</v>
      </c>
      <c r="C105" s="50" t="str">
        <f>HYPERLINK("#Particularidade!"&amp;ADDRESS(MATCH(B105,Particularidade!B:B,0),2),"Ir para particularidadedes")</f>
        <v>Ir para particularidadedes</v>
      </c>
      <c r="D105" s="51" t="s">
        <v>1014</v>
      </c>
      <c r="E105" s="51"/>
      <c r="F105" s="51" t="s">
        <v>613</v>
      </c>
      <c r="G105" s="36"/>
      <c r="H105" s="54" t="s">
        <v>50</v>
      </c>
      <c r="I105" s="54">
        <v>0</v>
      </c>
      <c r="J105" s="54">
        <v>5</v>
      </c>
      <c r="K105" s="54"/>
      <c r="L105" s="63" t="s">
        <v>105</v>
      </c>
      <c r="M105" s="56" t="s">
        <v>106</v>
      </c>
    </row>
    <row r="106" spans="1:14" ht="48" x14ac:dyDescent="0.2">
      <c r="A106" s="37">
        <v>427</v>
      </c>
      <c r="B106" s="36" t="s">
        <v>1086</v>
      </c>
      <c r="C106" s="50" t="str">
        <f>HYPERLINK("#Particularidade!"&amp;ADDRESS(MATCH(B106,Particularidade!B:B,0),2),"Ir para particularidadedes")</f>
        <v>Ir para particularidadedes</v>
      </c>
      <c r="D106" s="51" t="s">
        <v>1087</v>
      </c>
      <c r="E106" s="51" t="s">
        <v>1085</v>
      </c>
      <c r="F106" s="52" t="s">
        <v>613</v>
      </c>
      <c r="G106" s="53" t="s">
        <v>45</v>
      </c>
      <c r="H106" s="57" t="s">
        <v>41</v>
      </c>
      <c r="I106" s="54">
        <v>2</v>
      </c>
      <c r="J106" s="57">
        <v>28</v>
      </c>
      <c r="K106" s="57" t="s">
        <v>1684</v>
      </c>
      <c r="L106" s="57" t="s">
        <v>63</v>
      </c>
      <c r="M106" s="60" t="s">
        <v>1692</v>
      </c>
      <c r="N106" s="180" t="s">
        <v>1683</v>
      </c>
    </row>
    <row r="107" spans="1:14" ht="72" x14ac:dyDescent="0.2">
      <c r="A107" s="37">
        <v>352</v>
      </c>
      <c r="B107" s="36" t="s">
        <v>1019</v>
      </c>
      <c r="C107" s="50" t="str">
        <f>HYPERLINK("#Particularidade!"&amp;ADDRESS(MATCH(B107,Particularidade!B:B,0),2),"Ir para particularidadedes")</f>
        <v>Ir para particularidadedes</v>
      </c>
      <c r="D107" s="194" t="s">
        <v>1017</v>
      </c>
      <c r="E107" s="195" t="s">
        <v>1018</v>
      </c>
      <c r="F107" s="52" t="s">
        <v>613</v>
      </c>
      <c r="G107" s="141" t="s">
        <v>47</v>
      </c>
      <c r="H107" s="57" t="s">
        <v>41</v>
      </c>
      <c r="I107" s="54">
        <v>13</v>
      </c>
      <c r="J107" s="57">
        <v>28</v>
      </c>
      <c r="K107" s="57"/>
      <c r="L107" s="124" t="s">
        <v>75</v>
      </c>
      <c r="M107" s="56" t="s">
        <v>107</v>
      </c>
      <c r="N107" s="131" t="s">
        <v>1683</v>
      </c>
    </row>
    <row r="108" spans="1:14" ht="60" x14ac:dyDescent="0.2">
      <c r="A108" s="37">
        <v>354</v>
      </c>
      <c r="B108" s="36" t="s">
        <v>1021</v>
      </c>
      <c r="C108" s="50" t="str">
        <f>HYPERLINK("#Particularidade!"&amp;ADDRESS(MATCH(B108,Particularidade!B:B,0),2),"Ir para particularidadedes")</f>
        <v>Ir para particularidadedes</v>
      </c>
      <c r="D108" s="51" t="s">
        <v>1020</v>
      </c>
      <c r="E108" s="51" t="s">
        <v>991</v>
      </c>
      <c r="F108" s="51" t="s">
        <v>613</v>
      </c>
      <c r="G108" s="36"/>
      <c r="H108" s="140" t="s">
        <v>50</v>
      </c>
      <c r="I108" s="140">
        <v>19</v>
      </c>
      <c r="J108" s="140">
        <v>5</v>
      </c>
      <c r="K108" s="140"/>
      <c r="L108" s="55" t="s">
        <v>63</v>
      </c>
      <c r="M108" s="56" t="s">
        <v>1739</v>
      </c>
    </row>
    <row r="109" spans="1:14" ht="36" x14ac:dyDescent="0.2">
      <c r="A109" s="37">
        <v>356</v>
      </c>
      <c r="B109" s="37" t="s">
        <v>1023</v>
      </c>
      <c r="C109" s="50" t="str">
        <f>HYPERLINK("#Particularidade!"&amp;ADDRESS(MATCH(B109,Particularidade!B:B,0),2),"Ir para particularidadedes")</f>
        <v>Ir para particularidadedes</v>
      </c>
      <c r="D109" s="51" t="s">
        <v>1022</v>
      </c>
      <c r="E109" s="51"/>
      <c r="F109" s="51" t="s">
        <v>613</v>
      </c>
      <c r="G109" s="142"/>
      <c r="H109" s="57" t="s">
        <v>52</v>
      </c>
      <c r="I109" s="57"/>
      <c r="J109" s="57"/>
      <c r="K109" s="57"/>
      <c r="L109" s="57" t="s">
        <v>63</v>
      </c>
      <c r="M109" s="56" t="s">
        <v>65</v>
      </c>
    </row>
    <row r="110" spans="1:14" ht="36" x14ac:dyDescent="0.2">
      <c r="A110" s="37">
        <v>365</v>
      </c>
      <c r="B110" s="36" t="s">
        <v>1024</v>
      </c>
      <c r="C110" s="50" t="str">
        <f>HYPERLINK("#Particularidade!"&amp;ADDRESS(MATCH(B110,Particularidade!B:B,0),2),"Ir para particularidadedes")</f>
        <v>Ir para particularidadedes</v>
      </c>
      <c r="D110" s="51" t="s">
        <v>1025</v>
      </c>
      <c r="E110" s="51"/>
      <c r="F110" s="52" t="s">
        <v>613</v>
      </c>
      <c r="G110" s="129" t="s">
        <v>1836</v>
      </c>
      <c r="H110" s="57" t="s">
        <v>39</v>
      </c>
      <c r="I110" s="57" t="s">
        <v>57</v>
      </c>
      <c r="J110" s="57">
        <v>21</v>
      </c>
      <c r="K110" s="57"/>
      <c r="L110" s="57" t="s">
        <v>63</v>
      </c>
      <c r="M110" s="56" t="s">
        <v>1740</v>
      </c>
    </row>
    <row r="111" spans="1:14" ht="36" x14ac:dyDescent="0.2">
      <c r="A111" s="37">
        <v>369</v>
      </c>
      <c r="B111" s="36" t="s">
        <v>1028</v>
      </c>
      <c r="C111" s="50" t="str">
        <f>HYPERLINK("#Particularidade!"&amp;ADDRESS(MATCH(B111,Particularidade!B:B,0),2),"Ir para particularidadedes")</f>
        <v>Ir para particularidadedes</v>
      </c>
      <c r="D111" s="51" t="s">
        <v>1027</v>
      </c>
      <c r="E111" s="51" t="s">
        <v>1026</v>
      </c>
      <c r="F111" s="52" t="s">
        <v>613</v>
      </c>
      <c r="G111" s="143" t="s">
        <v>46</v>
      </c>
      <c r="H111" s="57" t="s">
        <v>41</v>
      </c>
      <c r="I111" s="54">
        <v>4</v>
      </c>
      <c r="J111" s="57">
        <v>28</v>
      </c>
      <c r="K111" s="57"/>
      <c r="L111" s="57" t="s">
        <v>63</v>
      </c>
      <c r="M111" s="56" t="s">
        <v>772</v>
      </c>
      <c r="N111" s="131"/>
    </row>
    <row r="112" spans="1:14" ht="48" x14ac:dyDescent="0.2">
      <c r="A112" s="37">
        <v>374</v>
      </c>
      <c r="B112" s="36" t="s">
        <v>1029</v>
      </c>
      <c r="C112" s="50" t="str">
        <f>HYPERLINK("#Particularidade!"&amp;ADDRESS(MATCH(B112,Particularidade!B:B,0),2),"Ir para particularidadedes")</f>
        <v>Ir para particularidadedes</v>
      </c>
      <c r="D112" s="51" t="s">
        <v>1030</v>
      </c>
      <c r="E112" s="51"/>
      <c r="F112" s="51" t="s">
        <v>613</v>
      </c>
      <c r="G112" s="142"/>
      <c r="H112" s="57" t="s">
        <v>50</v>
      </c>
      <c r="I112" s="57"/>
      <c r="J112" s="57"/>
      <c r="K112" s="57"/>
      <c r="L112" s="57" t="s">
        <v>63</v>
      </c>
      <c r="M112" s="56" t="s">
        <v>108</v>
      </c>
    </row>
    <row r="113" spans="1:14" ht="36" x14ac:dyDescent="0.2">
      <c r="A113" s="37">
        <v>376</v>
      </c>
      <c r="B113" s="37" t="s">
        <v>14</v>
      </c>
      <c r="C113" s="50" t="str">
        <f>HYPERLINK("#Particularidade!"&amp;ADDRESS(MATCH(B113,Particularidade!B:B,0),2),"Ir para particularidadedes")</f>
        <v>Ir para particularidadedes</v>
      </c>
      <c r="D113" s="51" t="s">
        <v>1031</v>
      </c>
      <c r="E113" s="51"/>
      <c r="F113" s="52" t="s">
        <v>613</v>
      </c>
      <c r="G113" s="134"/>
      <c r="H113" s="57" t="s">
        <v>50</v>
      </c>
      <c r="I113" s="57"/>
      <c r="J113" s="57"/>
      <c r="K113" s="57"/>
      <c r="L113" s="57" t="s">
        <v>67</v>
      </c>
      <c r="M113" s="144">
        <v>43307</v>
      </c>
    </row>
    <row r="114" spans="1:14" ht="36" x14ac:dyDescent="0.2">
      <c r="A114" s="36">
        <v>581</v>
      </c>
      <c r="B114" s="36" t="s">
        <v>1249</v>
      </c>
      <c r="C114" s="50" t="str">
        <f>HYPERLINK("#Particularidade!"&amp;ADDRESS(MATCH(B114,Particularidade!B:B,0),2),"Ir para particularidadedes")</f>
        <v>Ir para particularidadedes</v>
      </c>
      <c r="D114" s="51" t="s">
        <v>1248</v>
      </c>
      <c r="E114" s="51"/>
      <c r="F114" s="52" t="s">
        <v>613</v>
      </c>
      <c r="G114" s="53" t="s">
        <v>45</v>
      </c>
      <c r="H114" s="54" t="s">
        <v>41</v>
      </c>
      <c r="I114" s="54">
        <v>1</v>
      </c>
      <c r="J114" s="57">
        <v>30</v>
      </c>
      <c r="K114" s="57" t="s">
        <v>1689</v>
      </c>
      <c r="L114" s="54" t="s">
        <v>63</v>
      </c>
      <c r="M114" s="72" t="s">
        <v>667</v>
      </c>
      <c r="N114" s="131" t="s">
        <v>1687</v>
      </c>
    </row>
    <row r="115" spans="1:14" ht="36" x14ac:dyDescent="0.2">
      <c r="A115" s="37">
        <v>380</v>
      </c>
      <c r="B115" s="36" t="s">
        <v>1034</v>
      </c>
      <c r="C115" s="50" t="str">
        <f>HYPERLINK("#Particularidade!"&amp;ADDRESS(MATCH(B115,Particularidade!B:B,0),2),"Ir para particularidadedes")</f>
        <v>Ir para particularidadedes</v>
      </c>
      <c r="D115" s="51" t="s">
        <v>1035</v>
      </c>
      <c r="E115" s="51"/>
      <c r="F115" s="52" t="s">
        <v>613</v>
      </c>
      <c r="G115" s="129" t="s">
        <v>1836</v>
      </c>
      <c r="H115" s="57" t="s">
        <v>39</v>
      </c>
      <c r="I115" s="57" t="s">
        <v>57</v>
      </c>
      <c r="J115" s="57">
        <v>21</v>
      </c>
      <c r="K115" s="57"/>
      <c r="L115" s="57" t="s">
        <v>63</v>
      </c>
      <c r="M115" s="56" t="s">
        <v>65</v>
      </c>
    </row>
    <row r="116" spans="1:14" ht="84" x14ac:dyDescent="0.2">
      <c r="A116" s="37">
        <v>385</v>
      </c>
      <c r="B116" s="36" t="s">
        <v>1037</v>
      </c>
      <c r="C116" s="50" t="str">
        <f>HYPERLINK("#Particularidade!"&amp;ADDRESS(MATCH(B116,Particularidade!B:B,0),2),"Ir para particularidadedes")</f>
        <v>Ir para particularidadedes</v>
      </c>
      <c r="D116" s="51" t="s">
        <v>1036</v>
      </c>
      <c r="E116" s="51" t="s">
        <v>991</v>
      </c>
      <c r="F116" s="52" t="s">
        <v>613</v>
      </c>
      <c r="G116" s="143" t="s">
        <v>46</v>
      </c>
      <c r="H116" s="54" t="s">
        <v>41</v>
      </c>
      <c r="I116" s="54">
        <v>5</v>
      </c>
      <c r="J116" s="57">
        <v>3</v>
      </c>
      <c r="K116" s="57"/>
      <c r="L116" s="55" t="s">
        <v>63</v>
      </c>
      <c r="M116" s="56" t="s">
        <v>110</v>
      </c>
      <c r="N116" s="131"/>
    </row>
    <row r="117" spans="1:14" ht="60" x14ac:dyDescent="0.2">
      <c r="A117" s="36">
        <v>386</v>
      </c>
      <c r="B117" s="36" t="s">
        <v>1039</v>
      </c>
      <c r="C117" s="50" t="str">
        <f>HYPERLINK("#Particularidade!"&amp;ADDRESS(MATCH(B117,Particularidade!B:B,0),2),"Ir para particularidadedes")</f>
        <v>Ir para particularidadedes</v>
      </c>
      <c r="D117" s="51" t="s">
        <v>1038</v>
      </c>
      <c r="E117" s="51"/>
      <c r="F117" s="52" t="s">
        <v>613</v>
      </c>
      <c r="G117" s="129" t="s">
        <v>1836</v>
      </c>
      <c r="H117" s="54" t="s">
        <v>52</v>
      </c>
      <c r="I117" s="54"/>
      <c r="J117" s="54">
        <v>3</v>
      </c>
      <c r="K117" s="54"/>
      <c r="L117" s="61" t="s">
        <v>78</v>
      </c>
      <c r="M117" s="49" t="s">
        <v>626</v>
      </c>
    </row>
    <row r="118" spans="1:14" ht="48" x14ac:dyDescent="0.2">
      <c r="A118" s="36">
        <v>388</v>
      </c>
      <c r="B118" s="36" t="s">
        <v>1040</v>
      </c>
      <c r="C118" s="50" t="str">
        <f>HYPERLINK("#Particularidade!"&amp;ADDRESS(MATCH(B118,Particularidade!B:B,0),2),"Ir para particularidadedes")</f>
        <v>Ir para particularidadedes</v>
      </c>
      <c r="D118" s="51" t="s">
        <v>1041</v>
      </c>
      <c r="E118" s="51"/>
      <c r="F118" s="52" t="s">
        <v>614</v>
      </c>
      <c r="G118" s="53" t="s">
        <v>45</v>
      </c>
      <c r="H118" s="54" t="s">
        <v>52</v>
      </c>
      <c r="I118" s="54"/>
      <c r="J118" s="54"/>
      <c r="K118" s="54"/>
      <c r="L118" s="54" t="s">
        <v>63</v>
      </c>
      <c r="M118" s="49" t="s">
        <v>627</v>
      </c>
    </row>
    <row r="119" spans="1:14" ht="36" x14ac:dyDescent="0.2">
      <c r="A119" s="37">
        <v>392</v>
      </c>
      <c r="B119" s="37" t="s">
        <v>15</v>
      </c>
      <c r="C119" s="50" t="str">
        <f>HYPERLINK("#Particularidade!"&amp;ADDRESS(MATCH(B119,Particularidade!B:B,0),2),"Ir para particularidadedes")</f>
        <v>Ir para particularidadedes</v>
      </c>
      <c r="D119" s="51" t="s">
        <v>1042</v>
      </c>
      <c r="E119" s="51"/>
      <c r="F119" s="52" t="s">
        <v>613</v>
      </c>
      <c r="G119" s="134"/>
      <c r="H119" s="57" t="s">
        <v>50</v>
      </c>
      <c r="I119" s="57"/>
      <c r="J119" s="57"/>
      <c r="K119" s="57"/>
      <c r="L119" s="57" t="s">
        <v>63</v>
      </c>
      <c r="M119" s="56" t="s">
        <v>111</v>
      </c>
    </row>
    <row r="120" spans="1:14" ht="60" x14ac:dyDescent="0.2">
      <c r="A120" s="38">
        <v>397</v>
      </c>
      <c r="B120" s="38" t="s">
        <v>1043</v>
      </c>
      <c r="C120" s="50" t="str">
        <f>HYPERLINK("#Particularidade!"&amp;ADDRESS(MATCH(B120,Particularidade!B:B,0),2),"Ir para particularidadedes")</f>
        <v>Ir para particularidadedes</v>
      </c>
      <c r="D120" s="51" t="s">
        <v>1044</v>
      </c>
      <c r="E120" s="51"/>
      <c r="F120" s="52" t="s">
        <v>613</v>
      </c>
      <c r="G120" s="129" t="s">
        <v>1836</v>
      </c>
      <c r="H120" s="67" t="s">
        <v>52</v>
      </c>
      <c r="I120" s="67"/>
      <c r="J120" s="67">
        <v>21</v>
      </c>
      <c r="K120" s="67"/>
      <c r="L120" s="67" t="s">
        <v>63</v>
      </c>
      <c r="M120" s="66" t="s">
        <v>628</v>
      </c>
    </row>
    <row r="121" spans="1:14" ht="36" x14ac:dyDescent="0.2">
      <c r="A121" s="37">
        <v>400</v>
      </c>
      <c r="B121" s="36" t="s">
        <v>391</v>
      </c>
      <c r="C121" s="50" t="str">
        <f>HYPERLINK("#Particularidade!"&amp;ADDRESS(MATCH(B121,Particularidade!B:B,0),2),"Ir para particularidadedes")</f>
        <v>Ir para particularidadedes</v>
      </c>
      <c r="D121" s="51" t="s">
        <v>1045</v>
      </c>
      <c r="E121" s="51"/>
      <c r="F121" s="52" t="s">
        <v>614</v>
      </c>
      <c r="G121" s="129" t="s">
        <v>1836</v>
      </c>
      <c r="H121" s="57" t="s">
        <v>52</v>
      </c>
      <c r="I121" s="54"/>
      <c r="J121" s="54">
        <v>21</v>
      </c>
      <c r="K121" s="54"/>
      <c r="L121" s="57" t="s">
        <v>63</v>
      </c>
      <c r="M121" s="56" t="s">
        <v>112</v>
      </c>
    </row>
    <row r="122" spans="1:14" ht="36" x14ac:dyDescent="0.2">
      <c r="A122" s="37">
        <v>401</v>
      </c>
      <c r="B122" s="36" t="s">
        <v>1047</v>
      </c>
      <c r="C122" s="50" t="str">
        <f>HYPERLINK("#Particularidade!"&amp;ADDRESS(MATCH(B122,Particularidade!B:B,0),2),"Ir para particularidadedes")</f>
        <v>Ir para particularidadedes</v>
      </c>
      <c r="D122" s="51" t="s">
        <v>1046</v>
      </c>
      <c r="E122" s="51"/>
      <c r="F122" s="52" t="s">
        <v>613</v>
      </c>
      <c r="G122" s="53" t="s">
        <v>45</v>
      </c>
      <c r="H122" s="57" t="s">
        <v>50</v>
      </c>
      <c r="I122" s="57"/>
      <c r="J122" s="57">
        <v>21</v>
      </c>
      <c r="K122" s="57"/>
      <c r="L122" s="57" t="s">
        <v>63</v>
      </c>
      <c r="M122" s="56" t="s">
        <v>113</v>
      </c>
    </row>
    <row r="123" spans="1:14" ht="36" x14ac:dyDescent="0.2">
      <c r="A123" s="37">
        <v>402</v>
      </c>
      <c r="B123" s="36" t="s">
        <v>1049</v>
      </c>
      <c r="C123" s="50" t="str">
        <f>HYPERLINK("#Particularidade!"&amp;ADDRESS(MATCH(B123,Particularidade!B:B,0),2),"Ir para particularidadedes")</f>
        <v>Ir para particularidadedes</v>
      </c>
      <c r="D123" s="51" t="s">
        <v>1050</v>
      </c>
      <c r="E123" s="51" t="s">
        <v>1048</v>
      </c>
      <c r="F123" s="51" t="s">
        <v>614</v>
      </c>
      <c r="G123" s="145" t="s">
        <v>46</v>
      </c>
      <c r="H123" s="57" t="s">
        <v>50</v>
      </c>
      <c r="I123" s="57" t="s">
        <v>59</v>
      </c>
      <c r="J123" s="57">
        <v>28</v>
      </c>
      <c r="K123" s="57"/>
      <c r="L123" s="57" t="s">
        <v>63</v>
      </c>
      <c r="M123" s="56" t="s">
        <v>65</v>
      </c>
    </row>
    <row r="124" spans="1:14" ht="60" x14ac:dyDescent="0.2">
      <c r="A124" s="37">
        <v>1012</v>
      </c>
      <c r="B124" s="36" t="s">
        <v>1284</v>
      </c>
      <c r="C124" s="50" t="str">
        <f>HYPERLINK("#Particularidade!"&amp;ADDRESS(MATCH(B124,Particularidade!B:B,0),2),"Ir para particularidadedes")</f>
        <v>Ir para particularidadedes</v>
      </c>
      <c r="D124" s="51" t="s">
        <v>1283</v>
      </c>
      <c r="E124" s="51" t="s">
        <v>1282</v>
      </c>
      <c r="F124" s="52" t="s">
        <v>613</v>
      </c>
      <c r="G124" s="53" t="s">
        <v>45</v>
      </c>
      <c r="H124" s="57" t="s">
        <v>41</v>
      </c>
      <c r="I124" s="54">
        <v>1</v>
      </c>
      <c r="J124" s="54">
        <v>28</v>
      </c>
      <c r="K124" s="54" t="s">
        <v>1684</v>
      </c>
      <c r="L124" s="124" t="s">
        <v>75</v>
      </c>
      <c r="M124" s="60" t="s">
        <v>224</v>
      </c>
      <c r="N124" s="131" t="s">
        <v>1687</v>
      </c>
    </row>
    <row r="125" spans="1:14" ht="36" x14ac:dyDescent="0.2">
      <c r="A125" s="37">
        <v>404</v>
      </c>
      <c r="B125" s="36" t="s">
        <v>1054</v>
      </c>
      <c r="C125" s="50" t="str">
        <f>HYPERLINK("#Particularidade!"&amp;ADDRESS(MATCH(B125,Particularidade!B:B,0),2),"Ir para particularidadedes")</f>
        <v>Ir para particularidadedes</v>
      </c>
      <c r="D125" s="51" t="s">
        <v>1055</v>
      </c>
      <c r="E125" s="51"/>
      <c r="F125" s="52" t="s">
        <v>613</v>
      </c>
      <c r="G125" s="129" t="s">
        <v>1836</v>
      </c>
      <c r="H125" s="57" t="s">
        <v>39</v>
      </c>
      <c r="I125" s="57" t="s">
        <v>52</v>
      </c>
      <c r="J125" s="57">
        <v>21</v>
      </c>
      <c r="K125" s="57"/>
      <c r="L125" s="57" t="s">
        <v>63</v>
      </c>
      <c r="M125" s="56" t="s">
        <v>1864</v>
      </c>
    </row>
    <row r="126" spans="1:14" ht="36" x14ac:dyDescent="0.2">
      <c r="A126" s="38">
        <v>405</v>
      </c>
      <c r="B126" s="38" t="s">
        <v>1056</v>
      </c>
      <c r="C126" s="50" t="str">
        <f>HYPERLINK("#Particularidade!"&amp;ADDRESS(MATCH(B126,Particularidade!B:B,0),2),"Ir para particularidadedes")</f>
        <v>Ir para particularidadedes</v>
      </c>
      <c r="D126" s="51" t="s">
        <v>1057</v>
      </c>
      <c r="E126" s="51"/>
      <c r="F126" s="52" t="s">
        <v>613</v>
      </c>
      <c r="G126" s="129" t="s">
        <v>1836</v>
      </c>
      <c r="H126" s="67" t="s">
        <v>52</v>
      </c>
      <c r="I126" s="67"/>
      <c r="J126" s="67">
        <v>21</v>
      </c>
      <c r="K126" s="67"/>
      <c r="L126" s="67" t="s">
        <v>63</v>
      </c>
      <c r="M126" s="66" t="s">
        <v>114</v>
      </c>
    </row>
    <row r="127" spans="1:14" ht="36" x14ac:dyDescent="0.2">
      <c r="A127" s="37">
        <v>406</v>
      </c>
      <c r="B127" s="36" t="s">
        <v>1058</v>
      </c>
      <c r="C127" s="50" t="str">
        <f>HYPERLINK("#Particularidade!"&amp;ADDRESS(MATCH(B127,Particularidade!B:B,0),2),"Ir para particularidadedes")</f>
        <v>Ir para particularidadedes</v>
      </c>
      <c r="D127" s="51" t="s">
        <v>1059</v>
      </c>
      <c r="E127" s="51"/>
      <c r="F127" s="52" t="s">
        <v>613</v>
      </c>
      <c r="G127" s="129" t="s">
        <v>1836</v>
      </c>
      <c r="H127" s="57" t="s">
        <v>39</v>
      </c>
      <c r="I127" s="57" t="s">
        <v>57</v>
      </c>
      <c r="J127" s="57">
        <v>21</v>
      </c>
      <c r="K127" s="57"/>
      <c r="L127" s="57" t="s">
        <v>63</v>
      </c>
      <c r="M127" s="56" t="s">
        <v>65</v>
      </c>
    </row>
    <row r="128" spans="1:14" ht="96" x14ac:dyDescent="0.2">
      <c r="A128" s="37">
        <v>407</v>
      </c>
      <c r="B128" s="37" t="s">
        <v>396</v>
      </c>
      <c r="C128" s="50" t="str">
        <f>HYPERLINK("#Particularidade!"&amp;ADDRESS(MATCH(B128,Particularidade!B:B,0),2),"Ir para particularidadedes")</f>
        <v>Ir para particularidadedes</v>
      </c>
      <c r="D128" s="51" t="s">
        <v>1061</v>
      </c>
      <c r="E128" s="51" t="s">
        <v>1060</v>
      </c>
      <c r="F128" s="52" t="s">
        <v>613</v>
      </c>
      <c r="G128" s="137" t="s">
        <v>46</v>
      </c>
      <c r="H128" s="57" t="s">
        <v>50</v>
      </c>
      <c r="I128" s="54">
        <v>4</v>
      </c>
      <c r="J128" s="57">
        <v>25</v>
      </c>
      <c r="K128" s="57"/>
      <c r="L128" s="57" t="s">
        <v>105</v>
      </c>
      <c r="M128" s="56" t="s">
        <v>1867</v>
      </c>
      <c r="N128" s="131"/>
    </row>
    <row r="129" spans="1:14" ht="36" x14ac:dyDescent="0.2">
      <c r="A129" s="37">
        <v>408</v>
      </c>
      <c r="B129" s="36" t="s">
        <v>1062</v>
      </c>
      <c r="C129" s="50" t="str">
        <f>HYPERLINK("#Particularidade!"&amp;ADDRESS(MATCH(B129,Particularidade!B:B,0),2),"Ir para particularidadedes")</f>
        <v>Ir para particularidadedes</v>
      </c>
      <c r="D129" s="51" t="s">
        <v>1063</v>
      </c>
      <c r="E129" s="51"/>
      <c r="F129" s="52" t="s">
        <v>613</v>
      </c>
      <c r="G129" s="129" t="s">
        <v>1836</v>
      </c>
      <c r="H129" s="57" t="s">
        <v>39</v>
      </c>
      <c r="I129" s="57" t="s">
        <v>57</v>
      </c>
      <c r="J129" s="57">
        <v>21</v>
      </c>
      <c r="K129" s="57"/>
      <c r="L129" s="136" t="s">
        <v>1792</v>
      </c>
      <c r="M129" s="56" t="s">
        <v>65</v>
      </c>
      <c r="N129" s="119" t="s">
        <v>1706</v>
      </c>
    </row>
    <row r="130" spans="1:14" ht="36" x14ac:dyDescent="0.2">
      <c r="A130" s="37">
        <v>410</v>
      </c>
      <c r="B130" s="36" t="s">
        <v>1065</v>
      </c>
      <c r="C130" s="50" t="str">
        <f>HYPERLINK("#Particularidade!"&amp;ADDRESS(MATCH(B130,Particularidade!B:B,0),2),"Ir para particularidadedes")</f>
        <v>Ir para particularidadedes</v>
      </c>
      <c r="D130" s="51" t="s">
        <v>1064</v>
      </c>
      <c r="E130" s="51"/>
      <c r="F130" s="52" t="s">
        <v>613</v>
      </c>
      <c r="G130" s="129" t="s">
        <v>1836</v>
      </c>
      <c r="H130" s="57" t="s">
        <v>39</v>
      </c>
      <c r="I130" s="57" t="s">
        <v>57</v>
      </c>
      <c r="J130" s="57">
        <v>21</v>
      </c>
      <c r="K130" s="57"/>
      <c r="L130" s="57" t="s">
        <v>63</v>
      </c>
      <c r="M130" s="56" t="s">
        <v>65</v>
      </c>
    </row>
    <row r="131" spans="1:14" ht="36" x14ac:dyDescent="0.2">
      <c r="A131" s="37">
        <v>411</v>
      </c>
      <c r="B131" s="37" t="s">
        <v>1066</v>
      </c>
      <c r="C131" s="50" t="str">
        <f>HYPERLINK("#Particularidade!"&amp;ADDRESS(MATCH(B131,Particularidade!B:B,0),2),"Ir para particularidadedes")</f>
        <v>Ir para particularidadedes</v>
      </c>
      <c r="D131" s="51" t="s">
        <v>1067</v>
      </c>
      <c r="E131" s="51"/>
      <c r="F131" s="52" t="s">
        <v>613</v>
      </c>
      <c r="G131" s="129" t="s">
        <v>1836</v>
      </c>
      <c r="H131" s="57" t="s">
        <v>39</v>
      </c>
      <c r="I131" s="57" t="s">
        <v>57</v>
      </c>
      <c r="J131" s="57">
        <v>21</v>
      </c>
      <c r="K131" s="57"/>
      <c r="L131" s="57" t="s">
        <v>63</v>
      </c>
      <c r="M131" s="56" t="s">
        <v>1741</v>
      </c>
    </row>
    <row r="132" spans="1:14" x14ac:dyDescent="0.2">
      <c r="A132" s="37">
        <v>412</v>
      </c>
      <c r="B132" s="37" t="s">
        <v>1069</v>
      </c>
      <c r="C132" s="50" t="str">
        <f>HYPERLINK("#Particularidade!"&amp;ADDRESS(MATCH(B132,Particularidade!B:B,0),2),"Ir para particularidadedes")</f>
        <v>Ir para particularidadedes</v>
      </c>
      <c r="D132" s="51" t="s">
        <v>1068</v>
      </c>
      <c r="E132" s="51"/>
      <c r="F132" s="52" t="s">
        <v>614</v>
      </c>
      <c r="G132" s="134"/>
      <c r="H132" s="57" t="s">
        <v>52</v>
      </c>
      <c r="I132" s="57"/>
      <c r="J132" s="57"/>
      <c r="K132" s="57"/>
      <c r="L132" s="57"/>
      <c r="M132" s="146"/>
    </row>
    <row r="133" spans="1:14" ht="36" x14ac:dyDescent="0.2">
      <c r="A133" s="37">
        <v>413</v>
      </c>
      <c r="B133" s="36" t="s">
        <v>1071</v>
      </c>
      <c r="C133" s="50" t="str">
        <f>HYPERLINK("#Particularidade!"&amp;ADDRESS(MATCH(B133,Particularidade!B:B,0),2),"Ir para particularidadedes")</f>
        <v>Ir para particularidadedes</v>
      </c>
      <c r="D133" s="51" t="s">
        <v>1070</v>
      </c>
      <c r="E133" s="51"/>
      <c r="F133" s="52" t="s">
        <v>613</v>
      </c>
      <c r="G133" s="129" t="s">
        <v>1836</v>
      </c>
      <c r="H133" s="57" t="s">
        <v>39</v>
      </c>
      <c r="I133" s="57" t="s">
        <v>57</v>
      </c>
      <c r="J133" s="57">
        <v>21</v>
      </c>
      <c r="K133" s="57"/>
      <c r="L133" s="57" t="s">
        <v>63</v>
      </c>
      <c r="M133" s="56" t="s">
        <v>115</v>
      </c>
    </row>
    <row r="134" spans="1:14" ht="36" x14ac:dyDescent="0.2">
      <c r="A134" s="37">
        <v>415</v>
      </c>
      <c r="B134" s="36" t="s">
        <v>1072</v>
      </c>
      <c r="C134" s="50" t="str">
        <f>HYPERLINK("#Particularidade!"&amp;ADDRESS(MATCH(B134,Particularidade!B:B,0),2),"Ir para particularidadedes")</f>
        <v>Ir para particularidadedes</v>
      </c>
      <c r="D134" s="51" t="s">
        <v>1073</v>
      </c>
      <c r="E134" s="51"/>
      <c r="F134" s="52" t="s">
        <v>613</v>
      </c>
      <c r="G134" s="129" t="s">
        <v>1836</v>
      </c>
      <c r="H134" s="57" t="s">
        <v>39</v>
      </c>
      <c r="I134" s="57" t="s">
        <v>57</v>
      </c>
      <c r="J134" s="57">
        <v>21</v>
      </c>
      <c r="K134" s="57"/>
      <c r="L134" s="57" t="s">
        <v>63</v>
      </c>
      <c r="M134" s="56" t="s">
        <v>1858</v>
      </c>
    </row>
    <row r="135" spans="1:14" ht="48" x14ac:dyDescent="0.2">
      <c r="A135" s="37">
        <v>416</v>
      </c>
      <c r="B135" s="37" t="s">
        <v>1074</v>
      </c>
      <c r="C135" s="50" t="str">
        <f>HYPERLINK("#Particularidade!"&amp;ADDRESS(MATCH(B135,Particularidade!B:B,0),2),"Ir para particularidadedes")</f>
        <v>Ir para particularidadedes</v>
      </c>
      <c r="D135" s="51" t="s">
        <v>1075</v>
      </c>
      <c r="E135" s="51"/>
      <c r="F135" s="52" t="s">
        <v>613</v>
      </c>
      <c r="G135" s="129" t="s">
        <v>1836</v>
      </c>
      <c r="H135" s="57" t="s">
        <v>39</v>
      </c>
      <c r="I135" s="57" t="s">
        <v>57</v>
      </c>
      <c r="J135" s="57">
        <v>21</v>
      </c>
      <c r="K135" s="57"/>
      <c r="L135" s="124" t="s">
        <v>70</v>
      </c>
      <c r="M135" s="56" t="s">
        <v>1742</v>
      </c>
    </row>
    <row r="136" spans="1:14" ht="36" x14ac:dyDescent="0.2">
      <c r="A136" s="37">
        <v>417</v>
      </c>
      <c r="B136" s="36" t="s">
        <v>1077</v>
      </c>
      <c r="C136" s="50" t="str">
        <f>HYPERLINK("#Particularidade!"&amp;ADDRESS(MATCH(B136,Particularidade!B:B,0),2),"Ir para particularidadedes")</f>
        <v>Ir para particularidadedes</v>
      </c>
      <c r="D136" s="51" t="s">
        <v>1078</v>
      </c>
      <c r="E136" s="51"/>
      <c r="F136" s="52" t="s">
        <v>614</v>
      </c>
      <c r="G136" s="129" t="s">
        <v>1836</v>
      </c>
      <c r="H136" s="57" t="s">
        <v>39</v>
      </c>
      <c r="I136" s="57" t="s">
        <v>57</v>
      </c>
      <c r="J136" s="57">
        <v>21</v>
      </c>
      <c r="K136" s="57"/>
      <c r="L136" s="136" t="s">
        <v>78</v>
      </c>
      <c r="M136" s="56" t="s">
        <v>116</v>
      </c>
      <c r="N136" s="119" t="s">
        <v>1076</v>
      </c>
    </row>
    <row r="137" spans="1:14" x14ac:dyDescent="0.2">
      <c r="A137" s="38">
        <v>418</v>
      </c>
      <c r="B137" s="38" t="s">
        <v>1080</v>
      </c>
      <c r="C137" s="50" t="str">
        <f>HYPERLINK("#Particularidade!"&amp;ADDRESS(MATCH(B137,Particularidade!B:B,0),2),"Ir para particularidadedes")</f>
        <v>Ir para particularidadedes</v>
      </c>
      <c r="D137" s="51" t="s">
        <v>1079</v>
      </c>
      <c r="E137" s="51"/>
      <c r="F137" s="52" t="s">
        <v>613</v>
      </c>
      <c r="G137" s="129" t="s">
        <v>1836</v>
      </c>
      <c r="H137" s="67" t="s">
        <v>52</v>
      </c>
      <c r="I137" s="67"/>
      <c r="J137" s="67">
        <v>21</v>
      </c>
      <c r="K137" s="67"/>
      <c r="L137" s="67" t="s">
        <v>63</v>
      </c>
      <c r="M137" s="66" t="s">
        <v>117</v>
      </c>
    </row>
    <row r="138" spans="1:14" ht="36" x14ac:dyDescent="0.2">
      <c r="A138" s="37">
        <v>419</v>
      </c>
      <c r="B138" s="36" t="s">
        <v>1081</v>
      </c>
      <c r="C138" s="50" t="str">
        <f>HYPERLINK("#Particularidade!"&amp;ADDRESS(MATCH(B138,Particularidade!B:B,0),2),"Ir para particularidadedes")</f>
        <v>Ir para particularidadedes</v>
      </c>
      <c r="D138" s="51" t="s">
        <v>1082</v>
      </c>
      <c r="E138" s="51"/>
      <c r="F138" s="52" t="s">
        <v>614</v>
      </c>
      <c r="G138" s="129" t="s">
        <v>1836</v>
      </c>
      <c r="H138" s="57" t="s">
        <v>39</v>
      </c>
      <c r="I138" s="57" t="s">
        <v>57</v>
      </c>
      <c r="J138" s="57">
        <v>21</v>
      </c>
      <c r="K138" s="57"/>
      <c r="L138" s="57" t="s">
        <v>63</v>
      </c>
      <c r="M138" s="56" t="s">
        <v>65</v>
      </c>
    </row>
    <row r="139" spans="1:14" ht="84" x14ac:dyDescent="0.2">
      <c r="A139" s="37">
        <v>422</v>
      </c>
      <c r="B139" s="36" t="s">
        <v>1084</v>
      </c>
      <c r="C139" s="50" t="str">
        <f>HYPERLINK("#Particularidade!"&amp;ADDRESS(MATCH(B139,Particularidade!B:B,0),2),"Ir para particularidadedes")</f>
        <v>Ir para particularidadedes</v>
      </c>
      <c r="D139" s="194" t="s">
        <v>1083</v>
      </c>
      <c r="E139" s="195" t="s">
        <v>1093</v>
      </c>
      <c r="F139" s="52" t="s">
        <v>613</v>
      </c>
      <c r="G139" s="141" t="s">
        <v>47</v>
      </c>
      <c r="H139" s="54" t="s">
        <v>41</v>
      </c>
      <c r="I139" s="54">
        <v>8</v>
      </c>
      <c r="J139" s="54">
        <v>5</v>
      </c>
      <c r="K139" s="54"/>
      <c r="L139" s="54" t="s">
        <v>63</v>
      </c>
      <c r="M139" s="56" t="s">
        <v>118</v>
      </c>
      <c r="N139" s="131" t="s">
        <v>1683</v>
      </c>
    </row>
    <row r="140" spans="1:14" ht="48" x14ac:dyDescent="0.2">
      <c r="A140" s="37">
        <v>63</v>
      </c>
      <c r="B140" s="36" t="s">
        <v>860</v>
      </c>
      <c r="C140" s="50" t="str">
        <f>HYPERLINK("#Particularidade!"&amp;ADDRESS(MATCH(B140,Particularidade!B:B,0),2),"Ir para particularidadedes")</f>
        <v>Ir para particularidadedes</v>
      </c>
      <c r="D140" s="51" t="s">
        <v>858</v>
      </c>
      <c r="E140" s="51" t="s">
        <v>859</v>
      </c>
      <c r="F140" s="52" t="s">
        <v>613</v>
      </c>
      <c r="G140" s="53" t="s">
        <v>45</v>
      </c>
      <c r="H140" s="57" t="s">
        <v>41</v>
      </c>
      <c r="I140" s="54">
        <v>1</v>
      </c>
      <c r="J140" s="54">
        <v>28</v>
      </c>
      <c r="K140" s="54" t="s">
        <v>1684</v>
      </c>
      <c r="L140" s="124" t="s">
        <v>75</v>
      </c>
      <c r="M140" s="60" t="s">
        <v>77</v>
      </c>
      <c r="N140" s="172" t="s">
        <v>1687</v>
      </c>
    </row>
    <row r="141" spans="1:14" ht="36" x14ac:dyDescent="0.2">
      <c r="A141" s="37">
        <v>437</v>
      </c>
      <c r="B141" s="36" t="s">
        <v>1088</v>
      </c>
      <c r="C141" s="50" t="str">
        <f>HYPERLINK("#Particularidade!"&amp;ADDRESS(MATCH(B141,Particularidade!B:B,0),2),"Ir para particularidadedes")</f>
        <v>Ir para particularidadedes</v>
      </c>
      <c r="D141" s="51" t="s">
        <v>1089</v>
      </c>
      <c r="E141" s="51"/>
      <c r="F141" s="52" t="s">
        <v>614</v>
      </c>
      <c r="G141" s="53" t="s">
        <v>45</v>
      </c>
      <c r="H141" s="57" t="s">
        <v>50</v>
      </c>
      <c r="I141" s="57"/>
      <c r="J141" s="57">
        <v>21</v>
      </c>
      <c r="K141" s="57"/>
      <c r="L141" s="57" t="s">
        <v>63</v>
      </c>
      <c r="M141" s="56" t="s">
        <v>119</v>
      </c>
    </row>
    <row r="142" spans="1:14" ht="36" x14ac:dyDescent="0.2">
      <c r="A142" s="37">
        <v>439</v>
      </c>
      <c r="B142" s="36" t="s">
        <v>423</v>
      </c>
      <c r="C142" s="50" t="str">
        <f>HYPERLINK("#Particularidade!"&amp;ADDRESS(MATCH(B142,Particularidade!B:B,0),2),"Ir para particularidadedes")</f>
        <v>Ir para particularidadedes</v>
      </c>
      <c r="D142" s="51" t="s">
        <v>1090</v>
      </c>
      <c r="E142" s="51"/>
      <c r="F142" s="52" t="s">
        <v>617</v>
      </c>
      <c r="G142" s="129" t="s">
        <v>1836</v>
      </c>
      <c r="H142" s="54" t="s">
        <v>52</v>
      </c>
      <c r="I142" s="54">
        <v>0</v>
      </c>
      <c r="J142" s="57">
        <v>28</v>
      </c>
      <c r="K142" s="57"/>
      <c r="L142" s="57" t="s">
        <v>63</v>
      </c>
      <c r="M142" s="56" t="s">
        <v>629</v>
      </c>
    </row>
    <row r="143" spans="1:14" x14ac:dyDescent="0.2">
      <c r="A143" s="38">
        <v>441</v>
      </c>
      <c r="B143" s="38" t="s">
        <v>1091</v>
      </c>
      <c r="C143" s="50" t="str">
        <f>HYPERLINK("#Particularidade!"&amp;ADDRESS(MATCH(B143,Particularidade!B:B,0),2),"Ir para particularidadedes")</f>
        <v>Ir para particularidadedes</v>
      </c>
      <c r="D143" s="51" t="s">
        <v>1092</v>
      </c>
      <c r="E143" s="51"/>
      <c r="F143" s="52" t="s">
        <v>614</v>
      </c>
      <c r="G143" s="129" t="s">
        <v>1836</v>
      </c>
      <c r="H143" s="67" t="s">
        <v>52</v>
      </c>
      <c r="I143" s="67"/>
      <c r="J143" s="67"/>
      <c r="K143" s="67"/>
      <c r="L143" s="67"/>
      <c r="M143" s="66"/>
    </row>
    <row r="144" spans="1:14" ht="72" x14ac:dyDescent="0.2">
      <c r="A144" s="37">
        <v>445</v>
      </c>
      <c r="B144" s="36" t="s">
        <v>1095</v>
      </c>
      <c r="C144" s="50" t="str">
        <f>HYPERLINK("#Particularidade!"&amp;ADDRESS(MATCH(B144,Particularidade!B:B,0),2),"Ir para particularidadedes")</f>
        <v>Ir para particularidadedes</v>
      </c>
      <c r="D144" s="194" t="s">
        <v>1094</v>
      </c>
      <c r="E144" s="195" t="s">
        <v>1093</v>
      </c>
      <c r="F144" s="52" t="s">
        <v>613</v>
      </c>
      <c r="G144" s="147" t="s">
        <v>47</v>
      </c>
      <c r="H144" s="54" t="s">
        <v>41</v>
      </c>
      <c r="I144" s="54">
        <v>9</v>
      </c>
      <c r="J144" s="57">
        <v>28</v>
      </c>
      <c r="K144" s="57"/>
      <c r="L144" s="54" t="s">
        <v>63</v>
      </c>
      <c r="M144" s="56" t="s">
        <v>120</v>
      </c>
      <c r="N144" s="131" t="s">
        <v>1683</v>
      </c>
    </row>
    <row r="145" spans="1:14" ht="36" x14ac:dyDescent="0.2">
      <c r="A145" s="37">
        <v>446</v>
      </c>
      <c r="B145" s="36" t="s">
        <v>1098</v>
      </c>
      <c r="C145" s="50" t="str">
        <f>HYPERLINK("#Particularidade!"&amp;ADDRESS(MATCH(B145,Particularidade!B:B,0),2),"Ir para particularidadedes")</f>
        <v>Ir para particularidadedes</v>
      </c>
      <c r="D145" s="51" t="s">
        <v>1097</v>
      </c>
      <c r="E145" s="51" t="s">
        <v>1096</v>
      </c>
      <c r="F145" s="52" t="s">
        <v>613</v>
      </c>
      <c r="G145" s="53" t="s">
        <v>45</v>
      </c>
      <c r="H145" s="57" t="s">
        <v>50</v>
      </c>
      <c r="I145" s="54">
        <v>1</v>
      </c>
      <c r="J145" s="57">
        <v>28</v>
      </c>
      <c r="K145" s="57"/>
      <c r="L145" s="54" t="s">
        <v>63</v>
      </c>
      <c r="M145" s="60" t="s">
        <v>791</v>
      </c>
    </row>
    <row r="146" spans="1:14" ht="48" x14ac:dyDescent="0.2">
      <c r="A146" s="37">
        <v>438</v>
      </c>
      <c r="B146" s="36" t="s">
        <v>1101</v>
      </c>
      <c r="C146" s="50" t="str">
        <f>HYPERLINK("#Particularidade!"&amp;ADDRESS(MATCH(B146,Particularidade!B:B,0),2),"Ir para particularidadedes")</f>
        <v>Ir para particularidadedes</v>
      </c>
      <c r="D146" s="51" t="s">
        <v>1100</v>
      </c>
      <c r="E146" s="51" t="s">
        <v>1099</v>
      </c>
      <c r="F146" s="52" t="s">
        <v>613</v>
      </c>
      <c r="G146" s="137" t="s">
        <v>46</v>
      </c>
      <c r="H146" s="57" t="s">
        <v>41</v>
      </c>
      <c r="I146" s="54">
        <v>7</v>
      </c>
      <c r="J146" s="54">
        <v>26</v>
      </c>
      <c r="K146" s="54"/>
      <c r="L146" s="57" t="s">
        <v>105</v>
      </c>
      <c r="M146" s="56" t="s">
        <v>1743</v>
      </c>
      <c r="N146" s="148" t="s">
        <v>1683</v>
      </c>
    </row>
    <row r="147" spans="1:14" ht="84" x14ac:dyDescent="0.2">
      <c r="A147" s="37">
        <v>452</v>
      </c>
      <c r="B147" s="36" t="s">
        <v>1104</v>
      </c>
      <c r="C147" s="50" t="str">
        <f>HYPERLINK("#Particularidade!"&amp;ADDRESS(MATCH(B147,Particularidade!B:B,0),2),"Ir para particularidadedes")</f>
        <v>Ir para particularidadedes</v>
      </c>
      <c r="D147" s="51" t="s">
        <v>1103</v>
      </c>
      <c r="E147" s="51" t="s">
        <v>1102</v>
      </c>
      <c r="F147" s="51" t="s">
        <v>613</v>
      </c>
      <c r="G147" s="149" t="s">
        <v>46</v>
      </c>
      <c r="H147" s="54" t="s">
        <v>41</v>
      </c>
      <c r="I147" s="54">
        <v>7</v>
      </c>
      <c r="J147" s="57">
        <v>3</v>
      </c>
      <c r="K147" s="57"/>
      <c r="L147" s="54" t="s">
        <v>105</v>
      </c>
      <c r="M147" s="56" t="s">
        <v>121</v>
      </c>
      <c r="N147" s="148" t="s">
        <v>1683</v>
      </c>
    </row>
    <row r="148" spans="1:14" ht="36" x14ac:dyDescent="0.2">
      <c r="A148" s="37">
        <v>453</v>
      </c>
      <c r="B148" s="36" t="s">
        <v>1105</v>
      </c>
      <c r="C148" s="50" t="str">
        <f>HYPERLINK("#Particularidade!"&amp;ADDRESS(MATCH(B148,Particularidade!B:B,0),2),"Ir para particularidadedes")</f>
        <v>Ir para particularidadedes</v>
      </c>
      <c r="D148" s="51" t="s">
        <v>1106</v>
      </c>
      <c r="E148" s="51"/>
      <c r="F148" s="52" t="s">
        <v>613</v>
      </c>
      <c r="G148" s="129" t="s">
        <v>1836</v>
      </c>
      <c r="H148" s="54" t="s">
        <v>39</v>
      </c>
      <c r="I148" s="57" t="s">
        <v>57</v>
      </c>
      <c r="J148" s="57">
        <v>21</v>
      </c>
      <c r="K148" s="57"/>
      <c r="L148" s="54" t="s">
        <v>63</v>
      </c>
      <c r="M148" s="56" t="s">
        <v>65</v>
      </c>
    </row>
    <row r="149" spans="1:14" ht="36" x14ac:dyDescent="0.2">
      <c r="A149" s="37">
        <v>454</v>
      </c>
      <c r="B149" s="36" t="s">
        <v>1107</v>
      </c>
      <c r="C149" s="50" t="str">
        <f>HYPERLINK("#Particularidade!"&amp;ADDRESS(MATCH(B149,Particularidade!B:B,0),2),"Ir para particularidadedes")</f>
        <v>Ir para particularidadedes</v>
      </c>
      <c r="D149" s="51" t="s">
        <v>1108</v>
      </c>
      <c r="E149" s="51"/>
      <c r="F149" s="52" t="s">
        <v>613</v>
      </c>
      <c r="G149" s="129" t="s">
        <v>1836</v>
      </c>
      <c r="H149" s="54" t="s">
        <v>39</v>
      </c>
      <c r="I149" s="57" t="s">
        <v>57</v>
      </c>
      <c r="J149" s="57">
        <v>21</v>
      </c>
      <c r="K149" s="57"/>
      <c r="L149" s="136" t="s">
        <v>78</v>
      </c>
      <c r="M149" s="56" t="s">
        <v>122</v>
      </c>
    </row>
    <row r="150" spans="1:14" ht="24" x14ac:dyDescent="0.2">
      <c r="A150" s="36">
        <v>455</v>
      </c>
      <c r="B150" s="36" t="s">
        <v>1110</v>
      </c>
      <c r="C150" s="50" t="str">
        <f>HYPERLINK("#Particularidade!"&amp;ADDRESS(MATCH(B150,Particularidade!B:B,0),2),"Ir para particularidadedes")</f>
        <v>Ir para particularidadedes</v>
      </c>
      <c r="D150" s="51" t="s">
        <v>1109</v>
      </c>
      <c r="E150" s="51"/>
      <c r="F150" s="52" t="s">
        <v>1196</v>
      </c>
      <c r="G150" s="134"/>
      <c r="H150" s="54" t="s">
        <v>52</v>
      </c>
      <c r="I150" s="54">
        <v>1</v>
      </c>
      <c r="J150" s="54">
        <v>28</v>
      </c>
      <c r="K150" s="54"/>
      <c r="L150" s="54" t="s">
        <v>63</v>
      </c>
      <c r="M150" s="56" t="s">
        <v>123</v>
      </c>
    </row>
    <row r="151" spans="1:14" ht="24" x14ac:dyDescent="0.2">
      <c r="A151" s="36">
        <v>456</v>
      </c>
      <c r="B151" s="36" t="s">
        <v>1112</v>
      </c>
      <c r="C151" s="50" t="str">
        <f>HYPERLINK("#Particularidade!"&amp;ADDRESS(MATCH(B151,Particularidade!B:B,0),2),"Ir para particularidadedes")</f>
        <v>Ir para particularidadedes</v>
      </c>
      <c r="D151" s="51" t="s">
        <v>1111</v>
      </c>
      <c r="E151" s="51"/>
      <c r="F151" s="52" t="s">
        <v>1196</v>
      </c>
      <c r="G151" s="129" t="s">
        <v>1836</v>
      </c>
      <c r="H151" s="54" t="s">
        <v>53</v>
      </c>
      <c r="I151" s="54">
        <v>1</v>
      </c>
      <c r="J151" s="57">
        <v>28</v>
      </c>
      <c r="K151" s="57"/>
      <c r="L151" s="136" t="s">
        <v>70</v>
      </c>
      <c r="M151" s="56" t="s">
        <v>124</v>
      </c>
    </row>
    <row r="152" spans="1:14" ht="48" x14ac:dyDescent="0.2">
      <c r="A152" s="37">
        <v>119</v>
      </c>
      <c r="B152" s="36" t="s">
        <v>893</v>
      </c>
      <c r="C152" s="50" t="str">
        <f>HYPERLINK("#Particularidade!"&amp;ADDRESS(MATCH(B152,Particularidade!B:B,0),2),"Ir para particularidadedes")</f>
        <v>Ir para particularidadedes</v>
      </c>
      <c r="D152" s="51" t="s">
        <v>891</v>
      </c>
      <c r="E152" s="51" t="s">
        <v>892</v>
      </c>
      <c r="F152" s="52" t="s">
        <v>613</v>
      </c>
      <c r="G152" s="53" t="s">
        <v>45</v>
      </c>
      <c r="H152" s="57" t="s">
        <v>41</v>
      </c>
      <c r="I152" s="54">
        <v>1</v>
      </c>
      <c r="J152" s="57">
        <v>28</v>
      </c>
      <c r="K152" s="57" t="s">
        <v>1684</v>
      </c>
      <c r="L152" s="57" t="s">
        <v>63</v>
      </c>
      <c r="M152" s="60" t="s">
        <v>1720</v>
      </c>
      <c r="N152" s="131" t="s">
        <v>1687</v>
      </c>
    </row>
    <row r="153" spans="1:14" ht="36" x14ac:dyDescent="0.2">
      <c r="A153" s="37">
        <v>458</v>
      </c>
      <c r="B153" s="36" t="s">
        <v>1117</v>
      </c>
      <c r="C153" s="50" t="str">
        <f>HYPERLINK("#Particularidade!"&amp;ADDRESS(MATCH(B153,Particularidade!B:B,0),2),"Ir para particularidadedes")</f>
        <v>Ir para particularidadedes</v>
      </c>
      <c r="D153" s="51" t="s">
        <v>1116</v>
      </c>
      <c r="E153" s="51"/>
      <c r="F153" s="52" t="s">
        <v>613</v>
      </c>
      <c r="G153" s="53" t="s">
        <v>45</v>
      </c>
      <c r="H153" s="57" t="s">
        <v>50</v>
      </c>
      <c r="I153" s="54"/>
      <c r="J153" s="57">
        <v>21</v>
      </c>
      <c r="K153" s="57"/>
      <c r="L153" s="54" t="s">
        <v>63</v>
      </c>
      <c r="M153" s="56" t="s">
        <v>630</v>
      </c>
    </row>
    <row r="154" spans="1:14" ht="60" x14ac:dyDescent="0.2">
      <c r="A154" s="37">
        <v>459</v>
      </c>
      <c r="B154" s="36" t="s">
        <v>1120</v>
      </c>
      <c r="C154" s="50" t="str">
        <f>HYPERLINK("#Particularidade!"&amp;ADDRESS(MATCH(B154,Particularidade!B:B,0),2),"Ir para particularidadedes")</f>
        <v>Ir para particularidadedes</v>
      </c>
      <c r="D154" s="194" t="s">
        <v>1118</v>
      </c>
      <c r="E154" s="195" t="s">
        <v>1119</v>
      </c>
      <c r="F154" s="52" t="s">
        <v>613</v>
      </c>
      <c r="G154" s="141" t="s">
        <v>47</v>
      </c>
      <c r="H154" s="54" t="s">
        <v>41</v>
      </c>
      <c r="I154" s="54">
        <v>43</v>
      </c>
      <c r="J154" s="54">
        <v>3</v>
      </c>
      <c r="K154" s="54"/>
      <c r="L154" s="54" t="s">
        <v>63</v>
      </c>
      <c r="M154" s="56" t="s">
        <v>1826</v>
      </c>
      <c r="N154" s="131" t="s">
        <v>1683</v>
      </c>
    </row>
    <row r="155" spans="1:14" x14ac:dyDescent="0.2">
      <c r="A155" s="37">
        <v>462</v>
      </c>
      <c r="B155" s="37" t="s">
        <v>1121</v>
      </c>
      <c r="C155" s="50" t="str">
        <f>HYPERLINK("#Particularidade!"&amp;ADDRESS(MATCH(B155,Particularidade!B:B,0),2),"Ir para particularidadedes")</f>
        <v>Ir para particularidadedes</v>
      </c>
      <c r="D155" s="51" t="s">
        <v>1122</v>
      </c>
      <c r="E155" s="51"/>
      <c r="F155" s="52" t="s">
        <v>54</v>
      </c>
      <c r="G155" s="53" t="s">
        <v>45</v>
      </c>
      <c r="H155" s="57" t="s">
        <v>54</v>
      </c>
      <c r="I155" s="57"/>
      <c r="J155" s="57"/>
      <c r="K155" s="57"/>
      <c r="L155" s="57" t="s">
        <v>63</v>
      </c>
      <c r="M155" s="56" t="s">
        <v>43</v>
      </c>
    </row>
    <row r="156" spans="1:14" ht="36" x14ac:dyDescent="0.2">
      <c r="A156" s="37">
        <v>904</v>
      </c>
      <c r="B156" s="36" t="s">
        <v>1296</v>
      </c>
      <c r="C156" s="50" t="str">
        <f>HYPERLINK("#Particularidade!"&amp;ADDRESS(MATCH(B156,Particularidade!B:B,0),2),"Ir para particularidadedes")</f>
        <v>Ir para particularidadedes</v>
      </c>
      <c r="D156" s="51" t="s">
        <v>1297</v>
      </c>
      <c r="E156" s="51" t="s">
        <v>1295</v>
      </c>
      <c r="F156" s="52" t="s">
        <v>613</v>
      </c>
      <c r="G156" s="53" t="s">
        <v>45</v>
      </c>
      <c r="H156" s="57" t="s">
        <v>41</v>
      </c>
      <c r="I156" s="36">
        <v>1</v>
      </c>
      <c r="J156" s="57">
        <v>30</v>
      </c>
      <c r="K156" s="57" t="s">
        <v>1683</v>
      </c>
      <c r="L156" s="55" t="s">
        <v>63</v>
      </c>
      <c r="M156" s="56" t="s">
        <v>775</v>
      </c>
      <c r="N156" s="180" t="s">
        <v>1687</v>
      </c>
    </row>
    <row r="157" spans="1:14" ht="60" x14ac:dyDescent="0.2">
      <c r="A157" s="39">
        <v>465</v>
      </c>
      <c r="B157" s="40" t="s">
        <v>1127</v>
      </c>
      <c r="C157" s="50" t="str">
        <f>HYPERLINK("#Particularidade!"&amp;ADDRESS(MATCH(B157,Particularidade!B:B,0),2),"Ir para particularidadedes")</f>
        <v>Ir para particularidadedes</v>
      </c>
      <c r="D157" s="194" t="s">
        <v>1126</v>
      </c>
      <c r="E157" s="195" t="s">
        <v>991</v>
      </c>
      <c r="F157" s="52" t="s">
        <v>613</v>
      </c>
      <c r="G157" s="141" t="s">
        <v>47</v>
      </c>
      <c r="H157" s="54" t="s">
        <v>41</v>
      </c>
      <c r="I157" s="54">
        <v>19</v>
      </c>
      <c r="J157" s="54">
        <v>3</v>
      </c>
      <c r="K157" s="54"/>
      <c r="L157" s="63" t="s">
        <v>63</v>
      </c>
      <c r="M157" s="56" t="s">
        <v>125</v>
      </c>
      <c r="N157" s="131" t="s">
        <v>1687</v>
      </c>
    </row>
    <row r="158" spans="1:14" ht="84" x14ac:dyDescent="0.2">
      <c r="A158" s="39">
        <v>469</v>
      </c>
      <c r="B158" s="40" t="s">
        <v>1130</v>
      </c>
      <c r="C158" s="50" t="str">
        <f>HYPERLINK("#Particularidade!"&amp;ADDRESS(MATCH(B158,Particularidade!B:B,0),2),"Ir para particularidadedes")</f>
        <v>Ir para particularidadedes</v>
      </c>
      <c r="D158" s="51" t="s">
        <v>1128</v>
      </c>
      <c r="E158" s="51" t="s">
        <v>1129</v>
      </c>
      <c r="F158" s="52" t="s">
        <v>613</v>
      </c>
      <c r="G158" s="137" t="s">
        <v>46</v>
      </c>
      <c r="H158" s="54" t="s">
        <v>41</v>
      </c>
      <c r="I158" s="54">
        <v>5</v>
      </c>
      <c r="J158" s="54">
        <v>3</v>
      </c>
      <c r="K158" s="54"/>
      <c r="L158" s="124" t="s">
        <v>75</v>
      </c>
      <c r="M158" s="56" t="s">
        <v>126</v>
      </c>
      <c r="N158" s="172" t="s">
        <v>1683</v>
      </c>
    </row>
    <row r="159" spans="1:14" x14ac:dyDescent="0.2">
      <c r="A159" s="39">
        <v>470</v>
      </c>
      <c r="B159" s="150" t="s">
        <v>1131</v>
      </c>
      <c r="C159" s="50" t="str">
        <f>HYPERLINK("#Particularidade!"&amp;ADDRESS(MATCH(B159,Particularidade!B:B,0),2),"Ir para particularidadedes")</f>
        <v>Ir para particularidadedes</v>
      </c>
      <c r="D159" s="51" t="s">
        <v>1133</v>
      </c>
      <c r="E159" s="51"/>
      <c r="F159" s="51" t="s">
        <v>1132</v>
      </c>
      <c r="G159" s="37"/>
      <c r="H159" s="54" t="s">
        <v>52</v>
      </c>
      <c r="I159" s="54"/>
      <c r="J159" s="57"/>
      <c r="K159" s="57"/>
      <c r="L159" s="54"/>
      <c r="M159" s="56"/>
    </row>
    <row r="160" spans="1:14" ht="48" x14ac:dyDescent="0.2">
      <c r="A160" s="36">
        <v>850</v>
      </c>
      <c r="B160" s="113" t="s">
        <v>1452</v>
      </c>
      <c r="C160" s="50" t="str">
        <f>HYPERLINK("#Particularidade!"&amp;ADDRESS(MATCH(B160,Particularidade!B:B,0),2),"Ir para particularidadedes")</f>
        <v>Ir para particularidadedes</v>
      </c>
      <c r="D160" s="51" t="s">
        <v>1453</v>
      </c>
      <c r="E160" s="51"/>
      <c r="F160" s="52" t="s">
        <v>613</v>
      </c>
      <c r="G160" s="53" t="s">
        <v>45</v>
      </c>
      <c r="H160" s="57" t="s">
        <v>41</v>
      </c>
      <c r="I160" s="69"/>
      <c r="J160" s="57">
        <v>30</v>
      </c>
      <c r="K160" s="77" t="s">
        <v>1683</v>
      </c>
      <c r="L160" s="63" t="s">
        <v>63</v>
      </c>
      <c r="M160" s="56" t="s">
        <v>208</v>
      </c>
      <c r="N160" s="131"/>
    </row>
    <row r="161" spans="1:14" ht="48" x14ac:dyDescent="0.2">
      <c r="A161" s="36">
        <v>474</v>
      </c>
      <c r="B161" s="36" t="s">
        <v>1138</v>
      </c>
      <c r="C161" s="50" t="str">
        <f>HYPERLINK("#Particularidade!"&amp;ADDRESS(MATCH(B161,Particularidade!B:B,0),2),"Ir para particularidadedes")</f>
        <v>Ir para particularidadedes</v>
      </c>
      <c r="D161" s="51" t="s">
        <v>1137</v>
      </c>
      <c r="E161" s="51"/>
      <c r="F161" s="52" t="s">
        <v>1196</v>
      </c>
      <c r="G161" s="129" t="s">
        <v>1836</v>
      </c>
      <c r="H161" s="54" t="s">
        <v>53</v>
      </c>
      <c r="I161" s="54">
        <v>1</v>
      </c>
      <c r="J161" s="57">
        <v>28</v>
      </c>
      <c r="K161" s="57"/>
      <c r="L161" s="57" t="s">
        <v>63</v>
      </c>
      <c r="M161" s="56" t="s">
        <v>127</v>
      </c>
    </row>
    <row r="162" spans="1:14" ht="60" x14ac:dyDescent="0.2">
      <c r="A162" s="37">
        <v>86</v>
      </c>
      <c r="B162" s="36" t="s">
        <v>873</v>
      </c>
      <c r="C162" s="50" t="str">
        <f>HYPERLINK("#Particularidade!"&amp;ADDRESS(MATCH(B162,Particularidade!B:B,0),2),"Ir para particularidadedes")</f>
        <v>Ir para particularidadedes</v>
      </c>
      <c r="D162" s="51" t="s">
        <v>871</v>
      </c>
      <c r="E162" s="51" t="s">
        <v>872</v>
      </c>
      <c r="F162" s="51" t="s">
        <v>617</v>
      </c>
      <c r="G162" s="53" t="s">
        <v>45</v>
      </c>
      <c r="H162" s="57" t="s">
        <v>41</v>
      </c>
      <c r="I162" s="54">
        <v>1</v>
      </c>
      <c r="J162" s="57">
        <v>28</v>
      </c>
      <c r="K162" s="57" t="s">
        <v>1689</v>
      </c>
      <c r="L162" s="124" t="s">
        <v>75</v>
      </c>
      <c r="M162" s="60" t="s">
        <v>79</v>
      </c>
      <c r="N162" s="131" t="s">
        <v>1687</v>
      </c>
    </row>
    <row r="163" spans="1:14" ht="24" x14ac:dyDescent="0.2">
      <c r="A163" s="39">
        <v>476</v>
      </c>
      <c r="B163" s="40" t="s">
        <v>1140</v>
      </c>
      <c r="C163" s="50" t="str">
        <f>HYPERLINK("#Particularidade!"&amp;ADDRESS(MATCH(B163,Particularidade!B:B,0),2),"Ir para particularidadedes")</f>
        <v>Ir para particularidadedes</v>
      </c>
      <c r="D163" s="51" t="s">
        <v>1141</v>
      </c>
      <c r="E163" s="51"/>
      <c r="F163" s="52" t="s">
        <v>613</v>
      </c>
      <c r="G163" s="129" t="s">
        <v>1836</v>
      </c>
      <c r="H163" s="57" t="s">
        <v>39</v>
      </c>
      <c r="I163" s="57" t="s">
        <v>57</v>
      </c>
      <c r="J163" s="57">
        <v>21</v>
      </c>
      <c r="K163" s="57"/>
      <c r="L163" s="54" t="s">
        <v>63</v>
      </c>
      <c r="M163" s="56" t="s">
        <v>1866</v>
      </c>
    </row>
    <row r="164" spans="1:14" ht="60" x14ac:dyDescent="0.2">
      <c r="A164" s="39">
        <v>480</v>
      </c>
      <c r="B164" s="40" t="s">
        <v>1144</v>
      </c>
      <c r="C164" s="50" t="str">
        <f>HYPERLINK("#Particularidade!"&amp;ADDRESS(MATCH(B164,Particularidade!B:B,0),2),"Ir para particularidadedes")</f>
        <v>Ir para particularidadedes</v>
      </c>
      <c r="D164" s="194" t="s">
        <v>1143</v>
      </c>
      <c r="E164" s="195" t="s">
        <v>1142</v>
      </c>
      <c r="F164" s="52" t="s">
        <v>614</v>
      </c>
      <c r="G164" s="141" t="s">
        <v>47</v>
      </c>
      <c r="H164" s="54" t="s">
        <v>41</v>
      </c>
      <c r="I164" s="54">
        <v>15</v>
      </c>
      <c r="J164" s="54">
        <v>3</v>
      </c>
      <c r="K164" s="54"/>
      <c r="L164" s="63" t="s">
        <v>63</v>
      </c>
      <c r="M164" s="138" t="s">
        <v>128</v>
      </c>
      <c r="N164" s="131" t="s">
        <v>1683</v>
      </c>
    </row>
    <row r="165" spans="1:14" ht="36" x14ac:dyDescent="0.2">
      <c r="A165" s="39">
        <v>481</v>
      </c>
      <c r="B165" s="40" t="s">
        <v>1145</v>
      </c>
      <c r="C165" s="50" t="str">
        <f>HYPERLINK("#Particularidade!"&amp;ADDRESS(MATCH(B165,Particularidade!B:B,0),2),"Ir para particularidadedes")</f>
        <v>Ir para particularidadedes</v>
      </c>
      <c r="D165" s="51" t="s">
        <v>1146</v>
      </c>
      <c r="E165" s="51"/>
      <c r="F165" s="52" t="s">
        <v>613</v>
      </c>
      <c r="G165" s="129" t="s">
        <v>1836</v>
      </c>
      <c r="H165" s="57" t="s">
        <v>39</v>
      </c>
      <c r="I165" s="57" t="s">
        <v>57</v>
      </c>
      <c r="J165" s="57">
        <v>21</v>
      </c>
      <c r="K165" s="57"/>
      <c r="L165" s="54" t="s">
        <v>63</v>
      </c>
      <c r="M165" s="56" t="s">
        <v>65</v>
      </c>
    </row>
    <row r="166" spans="1:14" ht="36" x14ac:dyDescent="0.2">
      <c r="A166" s="37">
        <v>772</v>
      </c>
      <c r="B166" s="36" t="s">
        <v>1538</v>
      </c>
      <c r="C166" s="50" t="str">
        <f>HYPERLINK("#Particularidade!"&amp;ADDRESS(MATCH(B166,Particularidade!B:B,0),2),"Ir para particularidadedes")</f>
        <v>Ir para particularidadedes</v>
      </c>
      <c r="D166" s="51" t="s">
        <v>1537</v>
      </c>
      <c r="E166" s="51" t="s">
        <v>1536</v>
      </c>
      <c r="F166" s="51" t="s">
        <v>613</v>
      </c>
      <c r="G166" s="53" t="s">
        <v>45</v>
      </c>
      <c r="H166" s="37" t="s">
        <v>41</v>
      </c>
      <c r="I166" s="54">
        <v>1</v>
      </c>
      <c r="J166" s="57">
        <v>30</v>
      </c>
      <c r="K166" s="57" t="s">
        <v>1689</v>
      </c>
      <c r="L166" s="57" t="s">
        <v>63</v>
      </c>
      <c r="M166" s="60" t="s">
        <v>1236</v>
      </c>
      <c r="N166" s="131" t="s">
        <v>1684</v>
      </c>
    </row>
    <row r="167" spans="1:14" ht="48" x14ac:dyDescent="0.2">
      <c r="A167" s="37">
        <v>233</v>
      </c>
      <c r="B167" s="36" t="s">
        <v>305</v>
      </c>
      <c r="C167" s="50" t="str">
        <f>HYPERLINK("#Particularidade!"&amp;ADDRESS(MATCH(B167,Particularidade!B:B,0),2),"Ir para particularidadedes")</f>
        <v>Ir para particularidadedes</v>
      </c>
      <c r="D167" s="51" t="s">
        <v>939</v>
      </c>
      <c r="E167" s="51" t="s">
        <v>940</v>
      </c>
      <c r="F167" s="51" t="s">
        <v>613</v>
      </c>
      <c r="G167" s="53" t="s">
        <v>45</v>
      </c>
      <c r="H167" s="57" t="s">
        <v>41</v>
      </c>
      <c r="I167" s="54">
        <v>2</v>
      </c>
      <c r="J167" s="57">
        <v>28</v>
      </c>
      <c r="K167" s="57" t="s">
        <v>1684</v>
      </c>
      <c r="L167" s="57" t="s">
        <v>63</v>
      </c>
      <c r="M167" s="60" t="s">
        <v>1703</v>
      </c>
      <c r="N167" s="131" t="s">
        <v>1683</v>
      </c>
    </row>
    <row r="168" spans="1:14" ht="36" x14ac:dyDescent="0.2">
      <c r="A168" s="43">
        <v>757</v>
      </c>
      <c r="B168" s="36" t="s">
        <v>1505</v>
      </c>
      <c r="C168" s="50" t="str">
        <f>HYPERLINK("#Particularidade!"&amp;ADDRESS(MATCH(B168,Particularidade!B:B,0),2),"Ir para particularidadedes")</f>
        <v>Ir para particularidadedes</v>
      </c>
      <c r="D168" s="51" t="s">
        <v>1504</v>
      </c>
      <c r="E168" s="51"/>
      <c r="F168" s="51" t="s">
        <v>613</v>
      </c>
      <c r="G168" s="53" t="s">
        <v>45</v>
      </c>
      <c r="H168" s="43" t="s">
        <v>41</v>
      </c>
      <c r="I168" s="44">
        <v>2</v>
      </c>
      <c r="J168" s="57">
        <v>28</v>
      </c>
      <c r="K168" s="57" t="s">
        <v>1683</v>
      </c>
      <c r="L168" s="43" t="s">
        <v>63</v>
      </c>
      <c r="M168" s="56" t="s">
        <v>168</v>
      </c>
      <c r="N168" s="131" t="s">
        <v>1687</v>
      </c>
    </row>
    <row r="169" spans="1:14" ht="24" x14ac:dyDescent="0.2">
      <c r="A169" s="36">
        <v>794</v>
      </c>
      <c r="B169" s="36" t="s">
        <v>540</v>
      </c>
      <c r="C169" s="50" t="str">
        <f>HYPERLINK("#Particularidade!"&amp;ADDRESS(MATCH(B169,Particularidade!B:B,0),2),"Ir para particularidadedes")</f>
        <v>Ir para particularidadedes</v>
      </c>
      <c r="D169" s="51" t="s">
        <v>1654</v>
      </c>
      <c r="E169" s="51" t="s">
        <v>1573</v>
      </c>
      <c r="F169" s="51" t="s">
        <v>613</v>
      </c>
      <c r="G169" s="53" t="s">
        <v>45</v>
      </c>
      <c r="H169" s="57" t="s">
        <v>41</v>
      </c>
      <c r="I169" s="76">
        <v>1</v>
      </c>
      <c r="J169" s="57">
        <v>28</v>
      </c>
      <c r="K169" s="57" t="s">
        <v>1689</v>
      </c>
      <c r="L169" s="77" t="s">
        <v>63</v>
      </c>
      <c r="M169" s="60" t="s">
        <v>184</v>
      </c>
      <c r="N169" s="131" t="s">
        <v>1687</v>
      </c>
    </row>
    <row r="170" spans="1:14" ht="84" x14ac:dyDescent="0.2">
      <c r="A170" s="37">
        <v>255</v>
      </c>
      <c r="B170" s="36" t="s">
        <v>957</v>
      </c>
      <c r="C170" s="50" t="str">
        <f>HYPERLINK("#Particularidade!"&amp;ADDRESS(MATCH(B170,Particularidade!B:B,0),2),"Ir para particularidadedes")</f>
        <v>Ir para particularidadedes</v>
      </c>
      <c r="D170" s="51" t="s">
        <v>955</v>
      </c>
      <c r="E170" s="51" t="s">
        <v>956</v>
      </c>
      <c r="F170" s="51" t="s">
        <v>822</v>
      </c>
      <c r="G170" s="53" t="s">
        <v>45</v>
      </c>
      <c r="H170" s="57" t="s">
        <v>41</v>
      </c>
      <c r="I170" s="54">
        <v>3</v>
      </c>
      <c r="J170" s="57">
        <v>28</v>
      </c>
      <c r="K170" s="57" t="s">
        <v>1689</v>
      </c>
      <c r="L170" s="57" t="s">
        <v>63</v>
      </c>
      <c r="M170" s="56" t="s">
        <v>95</v>
      </c>
      <c r="N170" s="131" t="s">
        <v>1687</v>
      </c>
    </row>
    <row r="171" spans="1:14" ht="48" x14ac:dyDescent="0.2">
      <c r="A171" s="39">
        <v>487</v>
      </c>
      <c r="B171" s="40" t="s">
        <v>1158</v>
      </c>
      <c r="C171" s="50" t="str">
        <f>HYPERLINK("#Particularidade!"&amp;ADDRESS(MATCH(B171,Particularidade!B:B,0),2),"Ir para particularidadedes")</f>
        <v>Ir para particularidadedes</v>
      </c>
      <c r="D171" s="51" t="s">
        <v>1159</v>
      </c>
      <c r="E171" s="51"/>
      <c r="F171" s="52" t="s">
        <v>822</v>
      </c>
      <c r="G171" s="134"/>
      <c r="H171" s="57" t="s">
        <v>52</v>
      </c>
      <c r="I171" s="54">
        <v>1</v>
      </c>
      <c r="J171" s="57">
        <v>3</v>
      </c>
      <c r="K171" s="57"/>
      <c r="L171" s="57" t="s">
        <v>63</v>
      </c>
      <c r="M171" s="56" t="s">
        <v>1744</v>
      </c>
    </row>
    <row r="172" spans="1:14" ht="36" x14ac:dyDescent="0.2">
      <c r="A172" s="37">
        <v>664</v>
      </c>
      <c r="B172" s="36" t="s">
        <v>1360</v>
      </c>
      <c r="C172" s="50" t="str">
        <f>HYPERLINK("#Particularidade!"&amp;ADDRESS(MATCH(B172,Particularidade!B:B,0),2),"Ir para particularidadedes")</f>
        <v>Ir para particularidadedes</v>
      </c>
      <c r="D172" s="51" t="s">
        <v>1359</v>
      </c>
      <c r="E172" s="51" t="s">
        <v>1358</v>
      </c>
      <c r="F172" s="51" t="s">
        <v>614</v>
      </c>
      <c r="G172" s="53" t="s">
        <v>45</v>
      </c>
      <c r="H172" s="57" t="s">
        <v>41</v>
      </c>
      <c r="I172" s="54">
        <v>1</v>
      </c>
      <c r="J172" s="57">
        <v>30</v>
      </c>
      <c r="K172" s="57" t="s">
        <v>1684</v>
      </c>
      <c r="L172" s="57" t="s">
        <v>63</v>
      </c>
      <c r="M172" s="60" t="s">
        <v>1697</v>
      </c>
      <c r="N172" s="131" t="s">
        <v>1683</v>
      </c>
    </row>
    <row r="173" spans="1:14" ht="48" x14ac:dyDescent="0.2">
      <c r="A173" s="39">
        <v>489</v>
      </c>
      <c r="B173" s="39" t="s">
        <v>1162</v>
      </c>
      <c r="C173" s="50" t="str">
        <f>HYPERLINK("#Particularidade!"&amp;ADDRESS(MATCH(B173,Particularidade!B:B,0),2),"Ir para particularidadedes")</f>
        <v>Ir para particularidadedes</v>
      </c>
      <c r="D173" s="51" t="s">
        <v>1163</v>
      </c>
      <c r="E173" s="51"/>
      <c r="F173" s="52" t="s">
        <v>822</v>
      </c>
      <c r="G173" s="151"/>
      <c r="H173" s="57" t="s">
        <v>52</v>
      </c>
      <c r="I173" s="57"/>
      <c r="J173" s="57"/>
      <c r="K173" s="57"/>
      <c r="L173" s="57" t="s">
        <v>63</v>
      </c>
      <c r="M173" s="56" t="s">
        <v>130</v>
      </c>
    </row>
    <row r="174" spans="1:14" ht="36" x14ac:dyDescent="0.2">
      <c r="A174" s="39">
        <v>522</v>
      </c>
      <c r="B174" s="40" t="s">
        <v>465</v>
      </c>
      <c r="C174" s="50" t="str">
        <f>HYPERLINK("#Particularidade!"&amp;ADDRESS(MATCH(B174,Particularidade!B:B,0),2),"Ir para particularidadedes")</f>
        <v>Ir para particularidadedes</v>
      </c>
      <c r="D174" s="51" t="s">
        <v>1200</v>
      </c>
      <c r="E174" s="51" t="s">
        <v>1199</v>
      </c>
      <c r="F174" s="51" t="s">
        <v>613</v>
      </c>
      <c r="G174" s="53" t="s">
        <v>45</v>
      </c>
      <c r="H174" s="57" t="s">
        <v>41</v>
      </c>
      <c r="I174" s="54">
        <v>3</v>
      </c>
      <c r="J174" s="57">
        <v>28</v>
      </c>
      <c r="K174" s="57" t="s">
        <v>1684</v>
      </c>
      <c r="L174" s="63" t="s">
        <v>63</v>
      </c>
      <c r="M174" s="60" t="s">
        <v>1695</v>
      </c>
      <c r="N174" s="131" t="s">
        <v>1683</v>
      </c>
    </row>
    <row r="175" spans="1:14" ht="48" x14ac:dyDescent="0.2">
      <c r="A175" s="39">
        <v>491</v>
      </c>
      <c r="B175" s="39" t="s">
        <v>1166</v>
      </c>
      <c r="C175" s="50" t="str">
        <f>HYPERLINK("#Particularidade!"&amp;ADDRESS(MATCH(B175,Particularidade!B:B,0),2),"Ir para particularidadedes")</f>
        <v>Ir para particularidadedes</v>
      </c>
      <c r="D175" s="51" t="s">
        <v>1167</v>
      </c>
      <c r="E175" s="51"/>
      <c r="F175" s="51" t="s">
        <v>822</v>
      </c>
      <c r="G175" s="37"/>
      <c r="H175" s="57" t="s">
        <v>52</v>
      </c>
      <c r="I175" s="57"/>
      <c r="J175" s="57"/>
      <c r="K175" s="57"/>
      <c r="L175" s="57" t="s">
        <v>63</v>
      </c>
      <c r="M175" s="56" t="s">
        <v>131</v>
      </c>
    </row>
    <row r="176" spans="1:14" ht="48" x14ac:dyDescent="0.2">
      <c r="A176" s="39">
        <v>492</v>
      </c>
      <c r="B176" s="39" t="s">
        <v>1168</v>
      </c>
      <c r="C176" s="50" t="str">
        <f>HYPERLINK("#Particularidade!"&amp;ADDRESS(MATCH(B176,Particularidade!B:B,0),2),"Ir para particularidadedes")</f>
        <v>Ir para particularidadedes</v>
      </c>
      <c r="D176" s="51" t="s">
        <v>1169</v>
      </c>
      <c r="E176" s="51"/>
      <c r="F176" s="51" t="s">
        <v>822</v>
      </c>
      <c r="G176" s="37"/>
      <c r="H176" s="57" t="s">
        <v>52</v>
      </c>
      <c r="I176" s="57"/>
      <c r="J176" s="57"/>
      <c r="K176" s="57"/>
      <c r="L176" s="57" t="s">
        <v>63</v>
      </c>
      <c r="M176" s="56" t="s">
        <v>132</v>
      </c>
    </row>
    <row r="177" spans="1:14" x14ac:dyDescent="0.2">
      <c r="A177" s="39">
        <v>493</v>
      </c>
      <c r="B177" s="39" t="s">
        <v>1170</v>
      </c>
      <c r="C177" s="50" t="str">
        <f>HYPERLINK("#Particularidade!"&amp;ADDRESS(MATCH(B177,Particularidade!B:B,0),2),"Ir para particularidadedes")</f>
        <v>Ir para particularidadedes</v>
      </c>
      <c r="D177" s="51" t="s">
        <v>1171</v>
      </c>
      <c r="E177" s="51"/>
      <c r="F177" s="51" t="s">
        <v>822</v>
      </c>
      <c r="G177" s="37"/>
      <c r="H177" s="57" t="s">
        <v>52</v>
      </c>
      <c r="I177" s="57"/>
      <c r="J177" s="57"/>
      <c r="K177" s="57"/>
      <c r="L177" s="57" t="s">
        <v>63</v>
      </c>
      <c r="M177" s="56" t="s">
        <v>52</v>
      </c>
    </row>
    <row r="178" spans="1:14" ht="24" x14ac:dyDescent="0.2">
      <c r="A178" s="44">
        <v>819</v>
      </c>
      <c r="B178" s="36" t="s">
        <v>1611</v>
      </c>
      <c r="C178" s="50" t="str">
        <f>HYPERLINK("#Particularidade!"&amp;ADDRESS(MATCH(B178,Particularidade!B:B,0),2),"Ir para particularidadedes")</f>
        <v>Ir para particularidadedes</v>
      </c>
      <c r="D178" s="177" t="s">
        <v>1612</v>
      </c>
      <c r="E178" s="178" t="s">
        <v>1207</v>
      </c>
      <c r="F178" s="51" t="s">
        <v>613</v>
      </c>
      <c r="G178" s="147" t="s">
        <v>47</v>
      </c>
      <c r="H178" s="57" t="s">
        <v>41</v>
      </c>
      <c r="I178" s="80">
        <v>2</v>
      </c>
      <c r="J178" s="57"/>
      <c r="K178" s="57" t="s">
        <v>1689</v>
      </c>
      <c r="L178" s="63" t="s">
        <v>63</v>
      </c>
      <c r="M178" s="56" t="s">
        <v>773</v>
      </c>
      <c r="N178" s="131" t="s">
        <v>1687</v>
      </c>
    </row>
    <row r="179" spans="1:14" ht="72" x14ac:dyDescent="0.2">
      <c r="A179" s="37">
        <v>1010</v>
      </c>
      <c r="B179" s="36" t="s">
        <v>1287</v>
      </c>
      <c r="C179" s="50" t="str">
        <f>HYPERLINK("#Particularidade!"&amp;ADDRESS(MATCH(B179,Particularidade!B:B,0),2),"Ir para particularidadedes")</f>
        <v>Ir para particularidadedes</v>
      </c>
      <c r="D179" s="51" t="s">
        <v>1288</v>
      </c>
      <c r="E179" s="121"/>
      <c r="F179" s="51" t="s">
        <v>613</v>
      </c>
      <c r="G179" s="175" t="s">
        <v>45</v>
      </c>
      <c r="H179" s="57" t="s">
        <v>41</v>
      </c>
      <c r="I179" s="54">
        <v>6</v>
      </c>
      <c r="J179" s="57">
        <v>30</v>
      </c>
      <c r="K179" s="57" t="s">
        <v>1689</v>
      </c>
      <c r="L179" s="124" t="s">
        <v>75</v>
      </c>
      <c r="M179" s="56" t="s">
        <v>222</v>
      </c>
      <c r="N179" s="172" t="s">
        <v>1683</v>
      </c>
    </row>
    <row r="180" spans="1:14" ht="48" x14ac:dyDescent="0.2">
      <c r="A180" s="37">
        <v>1011</v>
      </c>
      <c r="B180" s="36" t="s">
        <v>1286</v>
      </c>
      <c r="C180" s="50" t="str">
        <f>HYPERLINK("#Particularidade!"&amp;ADDRESS(MATCH(B180,Particularidade!B:B,0),2),"Ir para particularidadedes")</f>
        <v>Ir para particularidadedes</v>
      </c>
      <c r="D180" s="51" t="s">
        <v>1285</v>
      </c>
      <c r="E180" s="51" t="s">
        <v>971</v>
      </c>
      <c r="F180" s="51" t="s">
        <v>613</v>
      </c>
      <c r="G180" s="53" t="s">
        <v>45</v>
      </c>
      <c r="H180" s="57" t="s">
        <v>41</v>
      </c>
      <c r="I180" s="57">
        <v>1</v>
      </c>
      <c r="J180" s="57">
        <v>30</v>
      </c>
      <c r="K180" s="57" t="s">
        <v>1689</v>
      </c>
      <c r="L180" s="124" t="s">
        <v>75</v>
      </c>
      <c r="M180" s="60" t="s">
        <v>223</v>
      </c>
      <c r="N180" s="131" t="s">
        <v>1683</v>
      </c>
    </row>
    <row r="181" spans="1:14" x14ac:dyDescent="0.2">
      <c r="A181" s="39">
        <v>497</v>
      </c>
      <c r="B181" s="39" t="s">
        <v>1179</v>
      </c>
      <c r="C181" s="50" t="str">
        <f>HYPERLINK("#Particularidade!"&amp;ADDRESS(MATCH(B181,Particularidade!B:B,0),2),"Ir para particularidadedes")</f>
        <v>Ir para particularidadedes</v>
      </c>
      <c r="D181" s="51" t="s">
        <v>1180</v>
      </c>
      <c r="E181" s="51"/>
      <c r="F181" s="51" t="s">
        <v>614</v>
      </c>
      <c r="G181" s="142"/>
      <c r="H181" s="57" t="s">
        <v>52</v>
      </c>
      <c r="I181" s="57"/>
      <c r="J181" s="57"/>
      <c r="K181" s="57"/>
      <c r="L181" s="57"/>
      <c r="M181" s="56"/>
    </row>
    <row r="182" spans="1:14" ht="36" x14ac:dyDescent="0.2">
      <c r="A182" s="39">
        <v>499</v>
      </c>
      <c r="B182" s="40" t="s">
        <v>1181</v>
      </c>
      <c r="C182" s="50" t="str">
        <f>HYPERLINK("#Particularidade!"&amp;ADDRESS(MATCH(B182,Particularidade!B:B,0),2),"Ir para particularidadedes")</f>
        <v>Ir para particularidadedes</v>
      </c>
      <c r="D182" s="51" t="s">
        <v>1182</v>
      </c>
      <c r="E182" s="51"/>
      <c r="F182" s="52" t="s">
        <v>613</v>
      </c>
      <c r="G182" s="129" t="s">
        <v>1836</v>
      </c>
      <c r="H182" s="54" t="s">
        <v>39</v>
      </c>
      <c r="I182" s="57" t="s">
        <v>57</v>
      </c>
      <c r="J182" s="57">
        <v>21</v>
      </c>
      <c r="K182" s="57"/>
      <c r="L182" s="54" t="s">
        <v>63</v>
      </c>
      <c r="M182" s="56" t="s">
        <v>65</v>
      </c>
    </row>
    <row r="183" spans="1:14" ht="36" x14ac:dyDescent="0.2">
      <c r="A183" s="39">
        <v>501</v>
      </c>
      <c r="B183" s="40" t="s">
        <v>17</v>
      </c>
      <c r="C183" s="50" t="str">
        <f>HYPERLINK("#Particularidade!"&amp;ADDRESS(MATCH(B183,Particularidade!B:B,0),2),"Ir para particularidadedes")</f>
        <v>Ir para particularidadedes</v>
      </c>
      <c r="D183" s="51" t="s">
        <v>1183</v>
      </c>
      <c r="E183" s="51"/>
      <c r="F183" s="52" t="s">
        <v>613</v>
      </c>
      <c r="G183" s="129" t="s">
        <v>1836</v>
      </c>
      <c r="H183" s="57" t="s">
        <v>39</v>
      </c>
      <c r="I183" s="57" t="s">
        <v>57</v>
      </c>
      <c r="J183" s="57">
        <v>21</v>
      </c>
      <c r="K183" s="57"/>
      <c r="L183" s="54" t="s">
        <v>63</v>
      </c>
      <c r="M183" s="56" t="s">
        <v>65</v>
      </c>
    </row>
    <row r="184" spans="1:14" ht="72" x14ac:dyDescent="0.2">
      <c r="A184" s="39">
        <v>502</v>
      </c>
      <c r="B184" s="111" t="s">
        <v>1185</v>
      </c>
      <c r="C184" s="50" t="str">
        <f>HYPERLINK("#Particularidade!"&amp;ADDRESS(MATCH(B184,Particularidade!B:B,0),2),"Ir para particularidadedes")</f>
        <v>Ir para particularidadedes</v>
      </c>
      <c r="D184" s="51" t="s">
        <v>1186</v>
      </c>
      <c r="E184" s="152" t="s">
        <v>1184</v>
      </c>
      <c r="F184" s="51" t="s">
        <v>617</v>
      </c>
      <c r="G184" s="153" t="s">
        <v>46</v>
      </c>
      <c r="H184" s="57" t="s">
        <v>50</v>
      </c>
      <c r="I184" s="54">
        <v>2</v>
      </c>
      <c r="J184" s="54">
        <v>28</v>
      </c>
      <c r="K184" s="54"/>
      <c r="L184" s="54" t="s">
        <v>75</v>
      </c>
      <c r="M184" s="56" t="s">
        <v>1745</v>
      </c>
    </row>
    <row r="185" spans="1:14" x14ac:dyDescent="0.2">
      <c r="A185" s="39"/>
      <c r="B185" s="40" t="s">
        <v>18</v>
      </c>
      <c r="C185" s="50" t="e">
        <f>HYPERLINK("#Particularidade!"&amp;ADDRESS(MATCH(B185,Particularidade!B:B,0),2),"Ir para particularidadedes")</f>
        <v>#N/A</v>
      </c>
      <c r="D185" s="51"/>
      <c r="E185" s="51"/>
      <c r="F185" s="52"/>
      <c r="G185" s="151"/>
      <c r="H185" s="54" t="s">
        <v>55</v>
      </c>
      <c r="I185" s="54"/>
      <c r="J185" s="54"/>
      <c r="K185" s="54"/>
      <c r="L185" s="54" t="s">
        <v>63</v>
      </c>
      <c r="M185" s="56" t="s">
        <v>40</v>
      </c>
    </row>
    <row r="186" spans="1:14" ht="72" x14ac:dyDescent="0.2">
      <c r="A186" s="39">
        <v>507</v>
      </c>
      <c r="B186" s="40" t="s">
        <v>1189</v>
      </c>
      <c r="C186" s="50" t="str">
        <f>HYPERLINK("#Particularidade!"&amp;ADDRESS(MATCH(B186,Particularidade!B:B,0),2),"Ir para particularidadedes")</f>
        <v>Ir para particularidadedes</v>
      </c>
      <c r="D186" s="194" t="s">
        <v>1188</v>
      </c>
      <c r="E186" s="195" t="s">
        <v>1187</v>
      </c>
      <c r="F186" s="52" t="s">
        <v>613</v>
      </c>
      <c r="G186" s="141" t="s">
        <v>47</v>
      </c>
      <c r="H186" s="54" t="s">
        <v>41</v>
      </c>
      <c r="I186" s="54">
        <v>16</v>
      </c>
      <c r="J186" s="57">
        <v>5</v>
      </c>
      <c r="K186" s="57"/>
      <c r="L186" s="54" t="s">
        <v>63</v>
      </c>
      <c r="M186" s="56" t="s">
        <v>1827</v>
      </c>
      <c r="N186" s="131" t="s">
        <v>1683</v>
      </c>
    </row>
    <row r="187" spans="1:14" ht="36" x14ac:dyDescent="0.2">
      <c r="A187" s="39">
        <v>503</v>
      </c>
      <c r="B187" s="40" t="s">
        <v>1190</v>
      </c>
      <c r="C187" s="50" t="str">
        <f>HYPERLINK("#Particularidade!"&amp;ADDRESS(MATCH(B187,Particularidade!B:B,0),2),"Ir para particularidadedes")</f>
        <v>Ir para particularidadedes</v>
      </c>
      <c r="D187" s="51" t="s">
        <v>1191</v>
      </c>
      <c r="E187" s="51"/>
      <c r="F187" s="52"/>
      <c r="G187" s="53" t="s">
        <v>45</v>
      </c>
      <c r="H187" s="54" t="s">
        <v>50</v>
      </c>
      <c r="I187" s="57" t="s">
        <v>57</v>
      </c>
      <c r="J187" s="57">
        <v>21</v>
      </c>
      <c r="K187" s="57"/>
      <c r="L187" s="54" t="s">
        <v>63</v>
      </c>
      <c r="M187" s="56" t="s">
        <v>134</v>
      </c>
    </row>
    <row r="188" spans="1:14" x14ac:dyDescent="0.2">
      <c r="A188" s="39">
        <v>511</v>
      </c>
      <c r="B188" s="40" t="s">
        <v>1193</v>
      </c>
      <c r="C188" s="50" t="str">
        <f>HYPERLINK("#Particularidade!"&amp;ADDRESS(MATCH(B188,Particularidade!B:B,0),2),"Ir para particularidadedes")</f>
        <v>Ir para particularidadedes</v>
      </c>
      <c r="D188" s="51" t="s">
        <v>1192</v>
      </c>
      <c r="E188" s="51"/>
      <c r="F188" s="51" t="s">
        <v>614</v>
      </c>
      <c r="G188" s="142"/>
      <c r="H188" s="54" t="s">
        <v>52</v>
      </c>
      <c r="I188" s="54"/>
      <c r="J188" s="54"/>
      <c r="K188" s="54"/>
      <c r="L188" s="54" t="s">
        <v>63</v>
      </c>
      <c r="M188" s="56"/>
    </row>
    <row r="189" spans="1:14" ht="48" x14ac:dyDescent="0.2">
      <c r="A189" s="39">
        <v>518</v>
      </c>
      <c r="B189" s="39" t="s">
        <v>1195</v>
      </c>
      <c r="C189" s="50" t="str">
        <f>HYPERLINK("#Particularidade!"&amp;ADDRESS(MATCH(B189,Particularidade!B:B,0),2),"Ir para particularidadedes")</f>
        <v>Ir para particularidadedes</v>
      </c>
      <c r="D189" s="51" t="s">
        <v>1194</v>
      </c>
      <c r="E189" s="51"/>
      <c r="F189" s="51" t="s">
        <v>1196</v>
      </c>
      <c r="G189" s="201" t="s">
        <v>1836</v>
      </c>
      <c r="H189" s="57" t="s">
        <v>52</v>
      </c>
      <c r="I189" s="54">
        <v>1</v>
      </c>
      <c r="J189" s="57"/>
      <c r="K189" s="57"/>
      <c r="L189" s="57" t="s">
        <v>63</v>
      </c>
      <c r="M189" s="56" t="s">
        <v>135</v>
      </c>
    </row>
    <row r="190" spans="1:14" ht="24" x14ac:dyDescent="0.2">
      <c r="A190" s="40">
        <v>519</v>
      </c>
      <c r="B190" s="40" t="s">
        <v>1198</v>
      </c>
      <c r="C190" s="50" t="str">
        <f>HYPERLINK("#Particularidade!"&amp;ADDRESS(MATCH(B190,Particularidade!B:B,0),2),"Ir para particularidadedes")</f>
        <v>Ir para particularidadedes</v>
      </c>
      <c r="D190" s="51" t="s">
        <v>1197</v>
      </c>
      <c r="E190" s="51"/>
      <c r="F190" s="52" t="s">
        <v>1196</v>
      </c>
      <c r="G190" s="129" t="s">
        <v>1836</v>
      </c>
      <c r="H190" s="54" t="s">
        <v>53</v>
      </c>
      <c r="I190" s="54">
        <v>1</v>
      </c>
      <c r="J190" s="54">
        <v>3</v>
      </c>
      <c r="K190" s="54"/>
      <c r="L190" s="54" t="s">
        <v>105</v>
      </c>
      <c r="M190" s="56" t="s">
        <v>136</v>
      </c>
      <c r="N190" s="119" t="s">
        <v>1687</v>
      </c>
    </row>
    <row r="191" spans="1:14" ht="84" x14ac:dyDescent="0.2">
      <c r="A191" s="37">
        <v>57</v>
      </c>
      <c r="B191" s="36" t="s">
        <v>853</v>
      </c>
      <c r="C191" s="50" t="str">
        <f>HYPERLINK("#Particularidade!"&amp;ADDRESS(MATCH(B191,Particularidade!B:B,0),2),"Ir para particularidadedes")</f>
        <v>Ir para particularidadedes</v>
      </c>
      <c r="D191" s="51" t="s">
        <v>852</v>
      </c>
      <c r="E191" s="51" t="s">
        <v>851</v>
      </c>
      <c r="F191" s="52" t="s">
        <v>616</v>
      </c>
      <c r="G191" s="175" t="s">
        <v>45</v>
      </c>
      <c r="H191" s="57" t="s">
        <v>41</v>
      </c>
      <c r="I191" s="54">
        <v>2</v>
      </c>
      <c r="J191" s="57">
        <v>30</v>
      </c>
      <c r="K191" s="57" t="s">
        <v>1689</v>
      </c>
      <c r="L191" s="124" t="s">
        <v>75</v>
      </c>
      <c r="M191" s="56" t="s">
        <v>1725</v>
      </c>
      <c r="N191" s="131" t="s">
        <v>1683</v>
      </c>
    </row>
    <row r="192" spans="1:14" ht="36" x14ac:dyDescent="0.2">
      <c r="A192" s="39">
        <v>529</v>
      </c>
      <c r="B192" s="40" t="s">
        <v>1201</v>
      </c>
      <c r="C192" s="50" t="str">
        <f>HYPERLINK("#Particularidade!"&amp;ADDRESS(MATCH(B192,Particularidade!B:B,0),2),"Ir para particularidadedes")</f>
        <v>Ir para particularidadedes</v>
      </c>
      <c r="D192" s="51" t="s">
        <v>1202</v>
      </c>
      <c r="E192" s="51"/>
      <c r="F192" s="52" t="s">
        <v>613</v>
      </c>
      <c r="G192" s="129" t="s">
        <v>1836</v>
      </c>
      <c r="H192" s="57" t="s">
        <v>39</v>
      </c>
      <c r="I192" s="57" t="s">
        <v>57</v>
      </c>
      <c r="J192" s="57">
        <v>21</v>
      </c>
      <c r="K192" s="57"/>
      <c r="L192" s="54" t="s">
        <v>63</v>
      </c>
      <c r="M192" s="56" t="s">
        <v>65</v>
      </c>
    </row>
    <row r="193" spans="1:14" ht="36" x14ac:dyDescent="0.2">
      <c r="A193" s="36">
        <v>532</v>
      </c>
      <c r="B193" s="36" t="s">
        <v>1203</v>
      </c>
      <c r="C193" s="50" t="str">
        <f>HYPERLINK("#Particularidade!"&amp;ADDRESS(MATCH(B193,Particularidade!B:B,0),2),"Ir para particularidadedes")</f>
        <v>Ir para particularidadedes</v>
      </c>
      <c r="D193" s="51" t="s">
        <v>1204</v>
      </c>
      <c r="E193" s="51"/>
      <c r="F193" s="52" t="s">
        <v>613</v>
      </c>
      <c r="G193" s="134"/>
      <c r="H193" s="54" t="s">
        <v>52</v>
      </c>
      <c r="I193" s="54">
        <v>2</v>
      </c>
      <c r="J193" s="54">
        <v>3</v>
      </c>
      <c r="K193" s="54"/>
      <c r="L193" s="54" t="s">
        <v>63</v>
      </c>
      <c r="M193" s="56" t="s">
        <v>137</v>
      </c>
    </row>
    <row r="194" spans="1:14" ht="24" x14ac:dyDescent="0.2">
      <c r="A194" s="36">
        <v>533</v>
      </c>
      <c r="B194" s="36" t="s">
        <v>1206</v>
      </c>
      <c r="C194" s="50" t="str">
        <f>HYPERLINK("#Particularidade!"&amp;ADDRESS(MATCH(B194,Particularidade!B:B,0),2),"Ir para particularidadedes")</f>
        <v>Ir para particularidadedes</v>
      </c>
      <c r="D194" s="51" t="s">
        <v>1205</v>
      </c>
      <c r="E194" s="51" t="s">
        <v>1129</v>
      </c>
      <c r="F194" s="51" t="s">
        <v>613</v>
      </c>
      <c r="G194" s="126" t="s">
        <v>46</v>
      </c>
      <c r="H194" s="54" t="s">
        <v>41</v>
      </c>
      <c r="I194" s="54">
        <v>5</v>
      </c>
      <c r="J194" s="54">
        <v>3</v>
      </c>
      <c r="K194" s="54"/>
      <c r="L194" s="124" t="s">
        <v>75</v>
      </c>
      <c r="M194" s="56" t="s">
        <v>138</v>
      </c>
      <c r="N194" s="148" t="s">
        <v>1683</v>
      </c>
    </row>
    <row r="195" spans="1:14" ht="72" x14ac:dyDescent="0.2">
      <c r="A195" s="36">
        <v>535</v>
      </c>
      <c r="B195" s="36" t="s">
        <v>1209</v>
      </c>
      <c r="C195" s="50" t="str">
        <f>HYPERLINK("#Particularidade!"&amp;ADDRESS(MATCH(B195,Particularidade!B:B,0),2),"Ir para particularidadedes")</f>
        <v>Ir para particularidadedes</v>
      </c>
      <c r="D195" s="51" t="s">
        <v>1208</v>
      </c>
      <c r="E195" s="51" t="s">
        <v>1207</v>
      </c>
      <c r="F195" s="51" t="s">
        <v>613</v>
      </c>
      <c r="G195" s="126" t="s">
        <v>46</v>
      </c>
      <c r="H195" s="54" t="s">
        <v>41</v>
      </c>
      <c r="I195" s="54">
        <v>10</v>
      </c>
      <c r="J195" s="57">
        <v>28</v>
      </c>
      <c r="K195" s="57"/>
      <c r="L195" s="63" t="s">
        <v>63</v>
      </c>
      <c r="M195" s="56" t="s">
        <v>139</v>
      </c>
      <c r="N195" s="148" t="s">
        <v>1683</v>
      </c>
    </row>
    <row r="196" spans="1:14" ht="60" x14ac:dyDescent="0.2">
      <c r="A196" s="41">
        <v>536</v>
      </c>
      <c r="B196" s="36" t="s">
        <v>1211</v>
      </c>
      <c r="C196" s="50" t="str">
        <f>HYPERLINK("#Particularidade!"&amp;ADDRESS(MATCH(B196,Particularidade!B:B,0),2),"Ir para particularidadedes")</f>
        <v>Ir para particularidadedes</v>
      </c>
      <c r="D196" s="51" t="s">
        <v>1210</v>
      </c>
      <c r="E196" s="51"/>
      <c r="F196" s="52" t="s">
        <v>1196</v>
      </c>
      <c r="G196" s="129" t="s">
        <v>1836</v>
      </c>
      <c r="H196" s="54" t="s">
        <v>53</v>
      </c>
      <c r="I196" s="54">
        <v>1</v>
      </c>
      <c r="J196" s="54">
        <v>28</v>
      </c>
      <c r="K196" s="54"/>
      <c r="L196" s="71" t="s">
        <v>1708</v>
      </c>
      <c r="M196" s="56" t="s">
        <v>786</v>
      </c>
    </row>
    <row r="197" spans="1:14" ht="60" x14ac:dyDescent="0.2">
      <c r="A197" s="36">
        <v>539</v>
      </c>
      <c r="B197" s="36" t="s">
        <v>1213</v>
      </c>
      <c r="C197" s="50" t="str">
        <f>HYPERLINK("#Particularidade!"&amp;ADDRESS(MATCH(B197,Particularidade!B:B,0),2),"Ir para particularidadedes")</f>
        <v>Ir para particularidadedes</v>
      </c>
      <c r="D197" s="51" t="s">
        <v>1212</v>
      </c>
      <c r="E197" s="51"/>
      <c r="F197" s="52" t="s">
        <v>1196</v>
      </c>
      <c r="G197" s="129" t="s">
        <v>1836</v>
      </c>
      <c r="H197" s="54" t="s">
        <v>53</v>
      </c>
      <c r="I197" s="54">
        <v>1</v>
      </c>
      <c r="J197" s="57">
        <v>28</v>
      </c>
      <c r="K197" s="57"/>
      <c r="L197" s="54" t="s">
        <v>63</v>
      </c>
      <c r="M197" s="56" t="s">
        <v>1746</v>
      </c>
    </row>
    <row r="198" spans="1:14" x14ac:dyDescent="0.2">
      <c r="A198" s="37">
        <v>676</v>
      </c>
      <c r="B198" s="36" t="s">
        <v>1378</v>
      </c>
      <c r="C198" s="50" t="str">
        <f>HYPERLINK("#Particularidade!"&amp;ADDRESS(MATCH(B198,Particularidade!B:B,0),2),"Ir para particularidadedes")</f>
        <v>Ir para particularidadedes</v>
      </c>
      <c r="D198" s="51" t="s">
        <v>1376</v>
      </c>
      <c r="E198" s="51" t="s">
        <v>1377</v>
      </c>
      <c r="F198" s="52" t="s">
        <v>617</v>
      </c>
      <c r="G198" s="53" t="s">
        <v>45</v>
      </c>
      <c r="H198" s="57" t="s">
        <v>41</v>
      </c>
      <c r="I198" s="54">
        <v>1</v>
      </c>
      <c r="J198" s="57">
        <v>28</v>
      </c>
      <c r="K198" s="57" t="s">
        <v>1684</v>
      </c>
      <c r="L198" s="57" t="s">
        <v>63</v>
      </c>
      <c r="M198" s="60" t="s">
        <v>161</v>
      </c>
      <c r="N198" s="131" t="s">
        <v>1687</v>
      </c>
    </row>
    <row r="199" spans="1:14" ht="36" x14ac:dyDescent="0.2">
      <c r="A199" s="36">
        <v>543</v>
      </c>
      <c r="B199" s="36" t="s">
        <v>483</v>
      </c>
      <c r="C199" s="50" t="str">
        <f>HYPERLINK("#Particularidade!"&amp;ADDRESS(MATCH(B199,Particularidade!B:B,0),2),"Ir para particularidadedes")</f>
        <v>Ir para particularidadedes</v>
      </c>
      <c r="D199" s="51" t="s">
        <v>1215</v>
      </c>
      <c r="E199" s="51"/>
      <c r="F199" s="52" t="s">
        <v>613</v>
      </c>
      <c r="G199" s="129" t="s">
        <v>46</v>
      </c>
      <c r="H199" s="54" t="s">
        <v>50</v>
      </c>
      <c r="I199" s="54">
        <v>1</v>
      </c>
      <c r="J199" s="57">
        <v>28</v>
      </c>
      <c r="K199" s="57"/>
      <c r="L199" s="54" t="s">
        <v>63</v>
      </c>
      <c r="M199" s="56" t="s">
        <v>141</v>
      </c>
    </row>
    <row r="200" spans="1:14" ht="36" x14ac:dyDescent="0.2">
      <c r="A200" s="36">
        <v>554</v>
      </c>
      <c r="B200" s="36" t="s">
        <v>1228</v>
      </c>
      <c r="C200" s="50" t="str">
        <f>HYPERLINK("#Particularidade!"&amp;ADDRESS(MATCH(B200,Particularidade!B:B,0),2),"Ir para particularidadedes")</f>
        <v>Ir para particularidadedes</v>
      </c>
      <c r="D200" s="51" t="s">
        <v>1229</v>
      </c>
      <c r="E200" s="51"/>
      <c r="F200" s="52" t="s">
        <v>613</v>
      </c>
      <c r="G200" s="53" t="s">
        <v>45</v>
      </c>
      <c r="H200" s="54" t="s">
        <v>41</v>
      </c>
      <c r="I200" s="57">
        <v>1</v>
      </c>
      <c r="J200" s="57">
        <v>30</v>
      </c>
      <c r="K200" s="57" t="s">
        <v>1689</v>
      </c>
      <c r="L200" s="54" t="s">
        <v>63</v>
      </c>
      <c r="M200" s="56" t="s">
        <v>65</v>
      </c>
      <c r="N200" s="131" t="s">
        <v>1683</v>
      </c>
    </row>
    <row r="201" spans="1:14" ht="36" x14ac:dyDescent="0.2">
      <c r="A201" s="38">
        <v>548</v>
      </c>
      <c r="B201" s="38" t="s">
        <v>1219</v>
      </c>
      <c r="C201" s="50" t="str">
        <f>HYPERLINK("#Particularidade!"&amp;ADDRESS(MATCH(B201,Particularidade!B:B,0),2),"Ir para particularidadedes")</f>
        <v>Ir para particularidadedes</v>
      </c>
      <c r="D201" s="51" t="s">
        <v>1220</v>
      </c>
      <c r="E201" s="51"/>
      <c r="F201" s="52" t="s">
        <v>613</v>
      </c>
      <c r="G201" s="129" t="s">
        <v>1836</v>
      </c>
      <c r="H201" s="67" t="s">
        <v>52</v>
      </c>
      <c r="I201" s="67"/>
      <c r="J201" s="67">
        <v>21</v>
      </c>
      <c r="K201" s="67"/>
      <c r="L201" s="67" t="s">
        <v>63</v>
      </c>
      <c r="M201" s="66" t="s">
        <v>65</v>
      </c>
    </row>
    <row r="202" spans="1:14" ht="36" x14ac:dyDescent="0.2">
      <c r="A202" s="36">
        <v>550</v>
      </c>
      <c r="B202" s="36" t="s">
        <v>1222</v>
      </c>
      <c r="C202" s="50" t="str">
        <f>HYPERLINK("#Particularidade!"&amp;ADDRESS(MATCH(B202,Particularidade!B:B,0),2),"Ir para particularidadedes")</f>
        <v>Ir para particularidadedes</v>
      </c>
      <c r="D202" s="51" t="s">
        <v>1221</v>
      </c>
      <c r="E202" s="51"/>
      <c r="F202" s="52" t="s">
        <v>54</v>
      </c>
      <c r="G202" s="134"/>
      <c r="H202" s="57" t="s">
        <v>50</v>
      </c>
      <c r="I202" s="54"/>
      <c r="J202" s="54"/>
      <c r="K202" s="54"/>
      <c r="L202" s="54"/>
      <c r="M202" s="56" t="s">
        <v>142</v>
      </c>
    </row>
    <row r="203" spans="1:14" x14ac:dyDescent="0.2">
      <c r="A203" s="36">
        <v>556</v>
      </c>
      <c r="B203" s="36" t="s">
        <v>1223</v>
      </c>
      <c r="C203" s="50" t="str">
        <f>HYPERLINK("#Particularidade!"&amp;ADDRESS(MATCH(B203,Particularidade!B:B,0),2),"Ir para particularidadedes")</f>
        <v>Ir para particularidadedes</v>
      </c>
      <c r="D203" s="51" t="s">
        <v>1224</v>
      </c>
      <c r="E203" s="51"/>
      <c r="F203" s="52" t="s">
        <v>613</v>
      </c>
      <c r="G203" s="134"/>
      <c r="H203" s="57" t="s">
        <v>52</v>
      </c>
      <c r="I203" s="54"/>
      <c r="J203" s="54"/>
      <c r="K203" s="54"/>
      <c r="L203" s="54"/>
      <c r="M203" s="56"/>
    </row>
    <row r="204" spans="1:14" ht="48" x14ac:dyDescent="0.2">
      <c r="A204" s="36">
        <v>553</v>
      </c>
      <c r="B204" s="36" t="s">
        <v>1227</v>
      </c>
      <c r="C204" s="50" t="str">
        <f>HYPERLINK("#Particularidade!"&amp;ADDRESS(MATCH(B204,Particularidade!B:B,0),2),"Ir para particularidadedes")</f>
        <v>Ir para particularidadedes</v>
      </c>
      <c r="D204" s="194" t="s">
        <v>1226</v>
      </c>
      <c r="E204" s="195" t="s">
        <v>1225</v>
      </c>
      <c r="F204" s="52" t="s">
        <v>613</v>
      </c>
      <c r="G204" s="141" t="s">
        <v>47</v>
      </c>
      <c r="H204" s="54" t="s">
        <v>41</v>
      </c>
      <c r="I204" s="54">
        <v>9</v>
      </c>
      <c r="J204" s="57">
        <v>28</v>
      </c>
      <c r="K204" s="57"/>
      <c r="L204" s="124" t="s">
        <v>75</v>
      </c>
      <c r="M204" s="56" t="s">
        <v>143</v>
      </c>
      <c r="N204" s="131" t="s">
        <v>1683</v>
      </c>
    </row>
    <row r="205" spans="1:14" ht="36" x14ac:dyDescent="0.2">
      <c r="A205" s="36">
        <v>837</v>
      </c>
      <c r="B205" s="113" t="s">
        <v>1575</v>
      </c>
      <c r="C205" s="50" t="str">
        <f>HYPERLINK("#Particularidade!"&amp;ADDRESS(MATCH(B205,Particularidade!B:B,0),2),"Ir para particularidadedes")</f>
        <v>Ir para particularidadedes</v>
      </c>
      <c r="D205" s="51" t="s">
        <v>1574</v>
      </c>
      <c r="E205" s="51" t="s">
        <v>1716</v>
      </c>
      <c r="F205" s="52" t="s">
        <v>613</v>
      </c>
      <c r="G205" s="53" t="s">
        <v>45</v>
      </c>
      <c r="H205" s="57" t="s">
        <v>41</v>
      </c>
      <c r="I205" s="76">
        <v>1</v>
      </c>
      <c r="J205" s="77">
        <v>28</v>
      </c>
      <c r="K205" s="77" t="s">
        <v>1684</v>
      </c>
      <c r="L205" s="37" t="s">
        <v>63</v>
      </c>
      <c r="M205" s="60" t="s">
        <v>1701</v>
      </c>
      <c r="N205" s="172" t="s">
        <v>1684</v>
      </c>
    </row>
    <row r="206" spans="1:14" ht="72" x14ac:dyDescent="0.2">
      <c r="A206" s="37">
        <v>567</v>
      </c>
      <c r="B206" s="36" t="s">
        <v>1232</v>
      </c>
      <c r="C206" s="50" t="str">
        <f>HYPERLINK("#Particularidade!"&amp;ADDRESS(MATCH(B206,Particularidade!B:B,0),2),"Ir para particularidadedes")</f>
        <v>Ir para particularidadedes</v>
      </c>
      <c r="D206" s="51" t="s">
        <v>1231</v>
      </c>
      <c r="E206" s="51" t="s">
        <v>1230</v>
      </c>
      <c r="F206" s="52" t="s">
        <v>613</v>
      </c>
      <c r="G206" s="126" t="s">
        <v>46</v>
      </c>
      <c r="H206" s="57" t="s">
        <v>41</v>
      </c>
      <c r="I206" s="54">
        <v>11</v>
      </c>
      <c r="J206" s="57">
        <v>28</v>
      </c>
      <c r="K206" s="57"/>
      <c r="L206" s="63" t="s">
        <v>63</v>
      </c>
      <c r="M206" s="56" t="s">
        <v>144</v>
      </c>
      <c r="N206" s="172"/>
    </row>
    <row r="207" spans="1:14" x14ac:dyDescent="0.2">
      <c r="A207" s="43">
        <v>568</v>
      </c>
      <c r="B207" s="36" t="s">
        <v>1233</v>
      </c>
      <c r="C207" s="50" t="str">
        <f>HYPERLINK("#Particularidade!"&amp;ADDRESS(MATCH(B207,Particularidade!B:B,0),2),"Ir para particularidadedes")</f>
        <v>Ir para particularidadedes</v>
      </c>
      <c r="D207" s="51" t="s">
        <v>1234</v>
      </c>
      <c r="E207" s="51"/>
      <c r="F207" s="52" t="s">
        <v>614</v>
      </c>
      <c r="G207" s="134"/>
      <c r="H207" s="43" t="s">
        <v>52</v>
      </c>
      <c r="I207" s="43"/>
      <c r="J207" s="43"/>
      <c r="K207" s="43"/>
      <c r="L207" s="43" t="s">
        <v>63</v>
      </c>
      <c r="M207" s="56"/>
    </row>
    <row r="208" spans="1:14" ht="48" x14ac:dyDescent="0.2">
      <c r="A208" s="37">
        <v>569</v>
      </c>
      <c r="B208" s="36" t="s">
        <v>1237</v>
      </c>
      <c r="C208" s="50" t="str">
        <f>HYPERLINK("#Particularidade!"&amp;ADDRESS(MATCH(B208,Particularidade!B:B,0),2),"Ir para particularidadedes")</f>
        <v>Ir para particularidadedes</v>
      </c>
      <c r="D208" s="51" t="s">
        <v>1238</v>
      </c>
      <c r="E208" s="51"/>
      <c r="F208" s="51" t="s">
        <v>613</v>
      </c>
      <c r="G208" s="142"/>
      <c r="H208" s="57" t="s">
        <v>52</v>
      </c>
      <c r="I208" s="57">
        <v>0</v>
      </c>
      <c r="J208" s="54">
        <v>28</v>
      </c>
      <c r="K208" s="54"/>
      <c r="L208" s="57" t="s">
        <v>63</v>
      </c>
      <c r="M208" s="56" t="s">
        <v>145</v>
      </c>
    </row>
    <row r="209" spans="1:14" ht="36" x14ac:dyDescent="0.2">
      <c r="A209" s="37">
        <v>570</v>
      </c>
      <c r="B209" s="36" t="s">
        <v>1239</v>
      </c>
      <c r="C209" s="50" t="str">
        <f>HYPERLINK("#Particularidade!"&amp;ADDRESS(MATCH(B209,Particularidade!B:B,0),2),"Ir para particularidadedes")</f>
        <v>Ir para particularidadedes</v>
      </c>
      <c r="D209" s="51" t="s">
        <v>1240</v>
      </c>
      <c r="E209" s="51"/>
      <c r="F209" s="52" t="s">
        <v>613</v>
      </c>
      <c r="G209" s="134"/>
      <c r="H209" s="57" t="s">
        <v>52</v>
      </c>
      <c r="I209" s="57"/>
      <c r="J209" s="54">
        <v>28</v>
      </c>
      <c r="K209" s="54"/>
      <c r="L209" s="57" t="s">
        <v>63</v>
      </c>
      <c r="M209" s="56" t="s">
        <v>146</v>
      </c>
    </row>
    <row r="210" spans="1:14" ht="60" x14ac:dyDescent="0.2">
      <c r="A210" s="37">
        <v>577</v>
      </c>
      <c r="B210" s="36" t="s">
        <v>1243</v>
      </c>
      <c r="C210" s="50" t="str">
        <f>HYPERLINK("#Particularidade!"&amp;ADDRESS(MATCH(B210,Particularidade!B:B,0),2),"Ir para particularidadedes")</f>
        <v>Ir para particularidadedes</v>
      </c>
      <c r="D210" s="194" t="s">
        <v>1242</v>
      </c>
      <c r="E210" s="195" t="s">
        <v>1241</v>
      </c>
      <c r="F210" s="52" t="s">
        <v>614</v>
      </c>
      <c r="G210" s="141" t="s">
        <v>47</v>
      </c>
      <c r="H210" s="57" t="s">
        <v>41</v>
      </c>
      <c r="I210" s="54">
        <v>9</v>
      </c>
      <c r="J210" s="57">
        <v>28</v>
      </c>
      <c r="K210" s="57"/>
      <c r="L210" s="57" t="s">
        <v>63</v>
      </c>
      <c r="M210" s="56" t="s">
        <v>1776</v>
      </c>
      <c r="N210" s="131" t="s">
        <v>1683</v>
      </c>
    </row>
    <row r="211" spans="1:14" ht="60" x14ac:dyDescent="0.2">
      <c r="A211" s="36">
        <v>578</v>
      </c>
      <c r="B211" s="36" t="s">
        <v>1245</v>
      </c>
      <c r="C211" s="50" t="str">
        <f>HYPERLINK("#Particularidade!"&amp;ADDRESS(MATCH(B211,Particularidade!B:B,0),2),"Ir para particularidadedes")</f>
        <v>Ir para particularidadedes</v>
      </c>
      <c r="D211" s="51" t="s">
        <v>1244</v>
      </c>
      <c r="E211" s="51"/>
      <c r="F211" s="52" t="s">
        <v>1196</v>
      </c>
      <c r="G211" s="129" t="s">
        <v>1836</v>
      </c>
      <c r="H211" s="57" t="s">
        <v>53</v>
      </c>
      <c r="I211" s="54">
        <v>1</v>
      </c>
      <c r="J211" s="57">
        <v>28</v>
      </c>
      <c r="K211" s="57"/>
      <c r="L211" s="136" t="s">
        <v>1790</v>
      </c>
      <c r="M211" s="56" t="s">
        <v>1747</v>
      </c>
    </row>
    <row r="212" spans="1:14" ht="36" x14ac:dyDescent="0.2">
      <c r="A212" s="37">
        <v>580</v>
      </c>
      <c r="B212" s="36" t="s">
        <v>1246</v>
      </c>
      <c r="C212" s="50" t="str">
        <f>HYPERLINK("#Particularidade!"&amp;ADDRESS(MATCH(B212,Particularidade!B:B,0),2),"Ir para particularidadedes")</f>
        <v>Ir para particularidadedes</v>
      </c>
      <c r="D212" s="51" t="s">
        <v>1247</v>
      </c>
      <c r="E212" s="51"/>
      <c r="F212" s="51" t="s">
        <v>614</v>
      </c>
      <c r="G212" s="142"/>
      <c r="H212" s="57" t="s">
        <v>52</v>
      </c>
      <c r="I212" s="57"/>
      <c r="J212" s="57">
        <v>21</v>
      </c>
      <c r="K212" s="57"/>
      <c r="L212" s="57" t="s">
        <v>63</v>
      </c>
      <c r="M212" s="56" t="s">
        <v>147</v>
      </c>
    </row>
    <row r="213" spans="1:14" x14ac:dyDescent="0.2">
      <c r="A213" s="36">
        <v>545</v>
      </c>
      <c r="B213" s="36" t="s">
        <v>1218</v>
      </c>
      <c r="C213" s="50" t="str">
        <f>HYPERLINK("#Particularidade!"&amp;ADDRESS(MATCH(B213,Particularidade!B:B,0),2),"Ir para particularidadedes")</f>
        <v>Ir para particularidadedes</v>
      </c>
      <c r="D213" s="51" t="s">
        <v>1217</v>
      </c>
      <c r="E213" s="51" t="s">
        <v>1216</v>
      </c>
      <c r="F213" s="52" t="s">
        <v>613</v>
      </c>
      <c r="G213" s="53" t="s">
        <v>45</v>
      </c>
      <c r="H213" s="57" t="s">
        <v>41</v>
      </c>
      <c r="I213" s="54">
        <v>1</v>
      </c>
      <c r="J213" s="54">
        <v>30</v>
      </c>
      <c r="K213" s="54" t="s">
        <v>1684</v>
      </c>
      <c r="L213" s="63" t="s">
        <v>63</v>
      </c>
      <c r="M213" s="60" t="s">
        <v>1696</v>
      </c>
      <c r="N213" s="131" t="s">
        <v>1683</v>
      </c>
    </row>
    <row r="214" spans="1:14" ht="48" x14ac:dyDescent="0.2">
      <c r="A214" s="37">
        <v>582</v>
      </c>
      <c r="B214" s="36" t="s">
        <v>1252</v>
      </c>
      <c r="C214" s="50" t="str">
        <f>HYPERLINK("#Particularidade!"&amp;ADDRESS(MATCH(B214,Particularidade!B:B,0),2),"Ir para particularidadedes")</f>
        <v>Ir para particularidadedes</v>
      </c>
      <c r="D214" s="51" t="s">
        <v>1251</v>
      </c>
      <c r="E214" s="51" t="s">
        <v>1250</v>
      </c>
      <c r="F214" s="52" t="s">
        <v>614</v>
      </c>
      <c r="G214" s="126" t="s">
        <v>46</v>
      </c>
      <c r="H214" s="54" t="s">
        <v>41</v>
      </c>
      <c r="I214" s="54">
        <v>5</v>
      </c>
      <c r="J214" s="54">
        <v>28</v>
      </c>
      <c r="K214" s="54"/>
      <c r="L214" s="54" t="s">
        <v>63</v>
      </c>
      <c r="M214" s="56" t="s">
        <v>148</v>
      </c>
      <c r="N214" s="172" t="s">
        <v>1687</v>
      </c>
    </row>
    <row r="215" spans="1:14" ht="24" x14ac:dyDescent="0.2">
      <c r="A215" s="36">
        <v>583</v>
      </c>
      <c r="B215" s="36" t="s">
        <v>1310</v>
      </c>
      <c r="C215" s="50" t="str">
        <f>HYPERLINK("#Particularidade!"&amp;ADDRESS(MATCH(B215,Particularidade!B:B,0),2),"Ir para particularidadedes")</f>
        <v>Ir para particularidadedes</v>
      </c>
      <c r="D215" s="51" t="s">
        <v>1311</v>
      </c>
      <c r="E215" s="51"/>
      <c r="F215" s="52" t="s">
        <v>614</v>
      </c>
      <c r="G215" s="129" t="s">
        <v>1836</v>
      </c>
      <c r="H215" s="54" t="s">
        <v>53</v>
      </c>
      <c r="I215" s="54">
        <v>2</v>
      </c>
      <c r="J215" s="54">
        <v>30</v>
      </c>
      <c r="K215" s="54"/>
      <c r="L215" s="54" t="s">
        <v>63</v>
      </c>
      <c r="M215" s="70" t="s">
        <v>124</v>
      </c>
    </row>
    <row r="216" spans="1:14" ht="24" x14ac:dyDescent="0.2">
      <c r="A216" s="37">
        <v>584</v>
      </c>
      <c r="B216" s="36" t="s">
        <v>1312</v>
      </c>
      <c r="C216" s="50" t="str">
        <f>HYPERLINK("#Particularidade!"&amp;ADDRESS(MATCH(B216,Particularidade!B:B,0),2),"Ir para particularidadedes")</f>
        <v>Ir para particularidadedes</v>
      </c>
      <c r="D216" s="51" t="s">
        <v>1313</v>
      </c>
      <c r="E216" s="51"/>
      <c r="F216" s="52" t="s">
        <v>613</v>
      </c>
      <c r="G216" s="134"/>
      <c r="H216" s="57" t="s">
        <v>52</v>
      </c>
      <c r="I216" s="57">
        <v>0</v>
      </c>
      <c r="J216" s="57">
        <v>21</v>
      </c>
      <c r="K216" s="57"/>
      <c r="L216" s="57" t="s">
        <v>63</v>
      </c>
      <c r="M216" s="56" t="s">
        <v>149</v>
      </c>
    </row>
    <row r="217" spans="1:14" ht="24" x14ac:dyDescent="0.2">
      <c r="A217" s="37">
        <v>586</v>
      </c>
      <c r="B217" s="36" t="s">
        <v>1314</v>
      </c>
      <c r="C217" s="50" t="str">
        <f>HYPERLINK("#Particularidade!"&amp;ADDRESS(MATCH(B217,Particularidade!B:B,0),2),"Ir para particularidadedes")</f>
        <v>Ir para particularidadedes</v>
      </c>
      <c r="D217" s="51" t="s">
        <v>1315</v>
      </c>
      <c r="E217" s="51"/>
      <c r="F217" s="52" t="s">
        <v>613</v>
      </c>
      <c r="G217" s="129" t="s">
        <v>1836</v>
      </c>
      <c r="H217" s="37" t="s">
        <v>39</v>
      </c>
      <c r="I217" s="57" t="s">
        <v>57</v>
      </c>
      <c r="J217" s="57">
        <v>21</v>
      </c>
      <c r="K217" s="57"/>
      <c r="L217" s="57" t="s">
        <v>63</v>
      </c>
      <c r="M217" s="56" t="s">
        <v>1748</v>
      </c>
    </row>
    <row r="218" spans="1:14" ht="60" x14ac:dyDescent="0.2">
      <c r="A218" s="39">
        <v>463</v>
      </c>
      <c r="B218" s="36" t="s">
        <v>1125</v>
      </c>
      <c r="C218" s="50" t="str">
        <f>HYPERLINK("#Particularidade!"&amp;ADDRESS(MATCH(B218,Particularidade!B:B,0),2),"Ir para particularidadedes")</f>
        <v>Ir para particularidadedes</v>
      </c>
      <c r="D218" s="51" t="s">
        <v>1124</v>
      </c>
      <c r="E218" s="51" t="s">
        <v>1123</v>
      </c>
      <c r="F218" s="52" t="s">
        <v>613</v>
      </c>
      <c r="G218" s="53" t="s">
        <v>45</v>
      </c>
      <c r="H218" s="57" t="s">
        <v>41</v>
      </c>
      <c r="I218" s="54">
        <v>1</v>
      </c>
      <c r="J218" s="54">
        <v>28</v>
      </c>
      <c r="K218" s="54" t="s">
        <v>1684</v>
      </c>
      <c r="L218" s="54" t="s">
        <v>63</v>
      </c>
      <c r="M218" s="60" t="s">
        <v>1694</v>
      </c>
      <c r="N218" s="131" t="s">
        <v>1687</v>
      </c>
    </row>
    <row r="219" spans="1:14" ht="36" x14ac:dyDescent="0.2">
      <c r="A219" s="36">
        <v>588</v>
      </c>
      <c r="B219" s="36" t="s">
        <v>19</v>
      </c>
      <c r="C219" s="50" t="str">
        <f>HYPERLINK("#Particularidade!"&amp;ADDRESS(MATCH(B219,Particularidade!B:B,0),2),"Ir para particularidadedes")</f>
        <v>Ir para particularidadedes</v>
      </c>
      <c r="D219" s="51" t="s">
        <v>1318</v>
      </c>
      <c r="E219" s="51"/>
      <c r="F219" s="52" t="s">
        <v>617</v>
      </c>
      <c r="G219" s="129" t="s">
        <v>46</v>
      </c>
      <c r="H219" s="37" t="s">
        <v>50</v>
      </c>
      <c r="I219" s="57">
        <v>0</v>
      </c>
      <c r="J219" s="54">
        <v>25</v>
      </c>
      <c r="K219" s="54"/>
      <c r="L219" s="57" t="s">
        <v>63</v>
      </c>
      <c r="M219" s="56" t="s">
        <v>1749</v>
      </c>
    </row>
    <row r="220" spans="1:14" ht="24" x14ac:dyDescent="0.2">
      <c r="A220" s="37">
        <v>590</v>
      </c>
      <c r="B220" s="36" t="s">
        <v>1319</v>
      </c>
      <c r="C220" s="50" t="str">
        <f>HYPERLINK("#Particularidade!"&amp;ADDRESS(MATCH(B220,Particularidade!B:B,0),2),"Ir para particularidadedes")</f>
        <v>Ir para particularidadedes</v>
      </c>
      <c r="D220" s="51" t="s">
        <v>1320</v>
      </c>
      <c r="E220" s="51"/>
      <c r="F220" s="52" t="s">
        <v>613</v>
      </c>
      <c r="G220" s="129" t="s">
        <v>1836</v>
      </c>
      <c r="H220" s="57" t="s">
        <v>52</v>
      </c>
      <c r="I220" s="57" t="s">
        <v>57</v>
      </c>
      <c r="J220" s="57">
        <v>21</v>
      </c>
      <c r="K220" s="57"/>
      <c r="L220" s="57" t="s">
        <v>63</v>
      </c>
      <c r="M220" s="56" t="s">
        <v>1750</v>
      </c>
    </row>
    <row r="221" spans="1:14" ht="36" x14ac:dyDescent="0.2">
      <c r="A221" s="37">
        <v>592</v>
      </c>
      <c r="B221" s="36" t="s">
        <v>1322</v>
      </c>
      <c r="C221" s="50" t="str">
        <f>HYPERLINK("#Particularidade!"&amp;ADDRESS(MATCH(B221,Particularidade!B:B,0),2),"Ir para particularidadedes")</f>
        <v>Ir para particularidadedes</v>
      </c>
      <c r="D221" s="51" t="s">
        <v>1323</v>
      </c>
      <c r="E221" s="51" t="s">
        <v>1321</v>
      </c>
      <c r="F221" s="51" t="s">
        <v>613</v>
      </c>
      <c r="G221" s="126" t="s">
        <v>46</v>
      </c>
      <c r="H221" s="37" t="s">
        <v>42</v>
      </c>
      <c r="I221" s="54">
        <v>10</v>
      </c>
      <c r="J221" s="57">
        <v>28</v>
      </c>
      <c r="K221" s="57"/>
      <c r="L221" s="57" t="s">
        <v>63</v>
      </c>
      <c r="M221" s="56" t="s">
        <v>150</v>
      </c>
      <c r="N221" s="131" t="s">
        <v>1683</v>
      </c>
    </row>
    <row r="222" spans="1:14" ht="36" x14ac:dyDescent="0.2">
      <c r="A222" s="37">
        <v>593</v>
      </c>
      <c r="B222" s="36" t="s">
        <v>20</v>
      </c>
      <c r="C222" s="50" t="str">
        <f>HYPERLINK("#Particularidade!"&amp;ADDRESS(MATCH(B222,Particularidade!B:B,0),2),"Ir para particularidadedes")</f>
        <v>Ir para particularidadedes</v>
      </c>
      <c r="D222" s="152" t="s">
        <v>1324</v>
      </c>
      <c r="E222" s="51"/>
      <c r="F222" s="52" t="s">
        <v>613</v>
      </c>
      <c r="G222" s="129" t="s">
        <v>1836</v>
      </c>
      <c r="H222" s="57" t="s">
        <v>39</v>
      </c>
      <c r="I222" s="57" t="s">
        <v>57</v>
      </c>
      <c r="J222" s="57">
        <v>21</v>
      </c>
      <c r="K222" s="57"/>
      <c r="L222" s="57" t="s">
        <v>63</v>
      </c>
      <c r="M222" s="56" t="s">
        <v>151</v>
      </c>
    </row>
    <row r="223" spans="1:14" ht="36" x14ac:dyDescent="0.2">
      <c r="A223" s="37">
        <v>594</v>
      </c>
      <c r="B223" s="36" t="s">
        <v>1327</v>
      </c>
      <c r="C223" s="50" t="str">
        <f>HYPERLINK("#Particularidade!"&amp;ADDRESS(MATCH(B223,Particularidade!B:B,0),2),"Ir para particularidadedes")</f>
        <v>Ir para particularidadedes</v>
      </c>
      <c r="D223" s="51" t="s">
        <v>1326</v>
      </c>
      <c r="E223" s="51" t="s">
        <v>1325</v>
      </c>
      <c r="F223" s="51" t="s">
        <v>613</v>
      </c>
      <c r="G223" s="126" t="s">
        <v>46</v>
      </c>
      <c r="H223" s="37" t="s">
        <v>41</v>
      </c>
      <c r="I223" s="54">
        <v>5</v>
      </c>
      <c r="J223" s="57">
        <v>28</v>
      </c>
      <c r="K223" s="57"/>
      <c r="L223" s="57" t="s">
        <v>63</v>
      </c>
      <c r="M223" s="56" t="s">
        <v>152</v>
      </c>
      <c r="N223" s="131"/>
    </row>
    <row r="224" spans="1:14" ht="48" x14ac:dyDescent="0.2">
      <c r="A224" s="37">
        <v>34</v>
      </c>
      <c r="B224" s="36" t="s">
        <v>830</v>
      </c>
      <c r="C224" s="50" t="str">
        <f>HYPERLINK("#Particularidade!"&amp;ADDRESS(MATCH(B224,Particularidade!B:B,0),2),"Ir para particularidadedes")</f>
        <v>Ir para particularidadedes</v>
      </c>
      <c r="D224" s="51" t="s">
        <v>829</v>
      </c>
      <c r="E224" s="51" t="s">
        <v>831</v>
      </c>
      <c r="F224" s="52" t="s">
        <v>613</v>
      </c>
      <c r="G224" s="53" t="s">
        <v>45</v>
      </c>
      <c r="H224" s="57" t="s">
        <v>41</v>
      </c>
      <c r="I224" s="54">
        <v>2</v>
      </c>
      <c r="J224" s="54">
        <v>30</v>
      </c>
      <c r="K224" s="54" t="s">
        <v>1689</v>
      </c>
      <c r="L224" s="57" t="s">
        <v>63</v>
      </c>
      <c r="M224" s="56" t="s">
        <v>71</v>
      </c>
      <c r="N224" s="199" t="s">
        <v>1687</v>
      </c>
    </row>
    <row r="225" spans="1:14" ht="36" x14ac:dyDescent="0.2">
      <c r="A225" s="37">
        <v>596</v>
      </c>
      <c r="B225" s="36" t="s">
        <v>1331</v>
      </c>
      <c r="C225" s="50" t="str">
        <f>HYPERLINK("#Particularidade!"&amp;ADDRESS(MATCH(B225,Particularidade!B:B,0),2),"Ir para particularidadedes")</f>
        <v>Ir para particularidadedes</v>
      </c>
      <c r="D225" s="51" t="s">
        <v>1332</v>
      </c>
      <c r="E225" s="51"/>
      <c r="F225" s="52" t="s">
        <v>613</v>
      </c>
      <c r="G225" s="129" t="s">
        <v>1836</v>
      </c>
      <c r="H225" s="37" t="s">
        <v>39</v>
      </c>
      <c r="I225" s="57" t="s">
        <v>57</v>
      </c>
      <c r="J225" s="57">
        <v>21</v>
      </c>
      <c r="K225" s="57"/>
      <c r="L225" s="57" t="s">
        <v>63</v>
      </c>
      <c r="M225" s="56" t="s">
        <v>153</v>
      </c>
    </row>
    <row r="226" spans="1:14" ht="36" x14ac:dyDescent="0.2">
      <c r="A226" s="37">
        <v>597</v>
      </c>
      <c r="B226" s="36" t="s">
        <v>1333</v>
      </c>
      <c r="C226" s="50" t="str">
        <f>HYPERLINK("#Particularidade!"&amp;ADDRESS(MATCH(B226,Particularidade!B:B,0),2),"Ir para particularidadedes")</f>
        <v>Ir para particularidadedes</v>
      </c>
      <c r="D226" s="51" t="s">
        <v>1334</v>
      </c>
      <c r="E226" s="51"/>
      <c r="F226" s="52" t="s">
        <v>613</v>
      </c>
      <c r="G226" s="129" t="s">
        <v>46</v>
      </c>
      <c r="H226" s="57" t="s">
        <v>50</v>
      </c>
      <c r="I226" s="54">
        <v>1</v>
      </c>
      <c r="J226" s="57">
        <v>5</v>
      </c>
      <c r="K226" s="57"/>
      <c r="L226" s="57" t="s">
        <v>63</v>
      </c>
      <c r="M226" s="56" t="s">
        <v>154</v>
      </c>
    </row>
    <row r="227" spans="1:14" ht="60" x14ac:dyDescent="0.2">
      <c r="A227" s="37">
        <v>598</v>
      </c>
      <c r="B227" s="36" t="s">
        <v>1336</v>
      </c>
      <c r="C227" s="50" t="str">
        <f>HYPERLINK("#Particularidade!"&amp;ADDRESS(MATCH(B227,Particularidade!B:B,0),2),"Ir para particularidadedes")</f>
        <v>Ir para particularidadedes</v>
      </c>
      <c r="D227" s="194" t="s">
        <v>1337</v>
      </c>
      <c r="E227" s="195" t="s">
        <v>1335</v>
      </c>
      <c r="F227" s="52" t="s">
        <v>613</v>
      </c>
      <c r="G227" s="141" t="s">
        <v>47</v>
      </c>
      <c r="H227" s="37" t="s">
        <v>41</v>
      </c>
      <c r="I227" s="54">
        <v>5</v>
      </c>
      <c r="J227" s="57">
        <v>30</v>
      </c>
      <c r="K227" s="57"/>
      <c r="L227" s="57" t="s">
        <v>63</v>
      </c>
      <c r="M227" s="56" t="s">
        <v>1831</v>
      </c>
      <c r="N227" s="131" t="s">
        <v>1683</v>
      </c>
    </row>
    <row r="228" spans="1:14" ht="48" x14ac:dyDescent="0.2">
      <c r="A228" s="37">
        <v>87</v>
      </c>
      <c r="B228" s="36" t="s">
        <v>876</v>
      </c>
      <c r="C228" s="50" t="str">
        <f>HYPERLINK("#Particularidade!"&amp;ADDRESS(MATCH(B228,Particularidade!B:B,0),2),"Ir para particularidadedes")</f>
        <v>Ir para particularidadedes</v>
      </c>
      <c r="D228" s="51" t="s">
        <v>874</v>
      </c>
      <c r="E228" s="51" t="s">
        <v>875</v>
      </c>
      <c r="F228" s="52" t="s">
        <v>617</v>
      </c>
      <c r="G228" s="53" t="s">
        <v>45</v>
      </c>
      <c r="H228" s="57" t="s">
        <v>41</v>
      </c>
      <c r="I228" s="54">
        <v>1</v>
      </c>
      <c r="J228" s="57">
        <v>28</v>
      </c>
      <c r="K228" s="57" t="s">
        <v>1684</v>
      </c>
      <c r="L228" s="124" t="s">
        <v>75</v>
      </c>
      <c r="M228" s="60" t="s">
        <v>1690</v>
      </c>
      <c r="N228" s="172" t="s">
        <v>1787</v>
      </c>
    </row>
    <row r="229" spans="1:14" x14ac:dyDescent="0.2">
      <c r="A229" s="37">
        <v>601</v>
      </c>
      <c r="B229" s="36" t="s">
        <v>1340</v>
      </c>
      <c r="C229" s="50" t="str">
        <f>HYPERLINK("#Particularidade!"&amp;ADDRESS(MATCH(B229,Particularidade!B:B,0),2),"Ir para particularidadedes")</f>
        <v>Ir para particularidadedes</v>
      </c>
      <c r="D229" s="51" t="s">
        <v>1339</v>
      </c>
      <c r="E229" s="51"/>
      <c r="F229" s="52" t="s">
        <v>54</v>
      </c>
      <c r="G229" s="134"/>
      <c r="H229" s="37" t="s">
        <v>54</v>
      </c>
      <c r="I229" s="57">
        <v>0</v>
      </c>
      <c r="J229" s="57"/>
      <c r="K229" s="57"/>
      <c r="L229" s="57" t="s">
        <v>63</v>
      </c>
      <c r="M229" s="56" t="s">
        <v>155</v>
      </c>
    </row>
    <row r="230" spans="1:14" ht="60" x14ac:dyDescent="0.2">
      <c r="A230" s="36">
        <v>602</v>
      </c>
      <c r="B230" s="36" t="s">
        <v>1342</v>
      </c>
      <c r="C230" s="50" t="str">
        <f>HYPERLINK("#Particularidade!"&amp;ADDRESS(MATCH(B230,Particularidade!B:B,0),2),"Ir para particularidadedes")</f>
        <v>Ir para particularidadedes</v>
      </c>
      <c r="D230" s="51" t="s">
        <v>1343</v>
      </c>
      <c r="E230" s="51"/>
      <c r="F230" s="52" t="s">
        <v>613</v>
      </c>
      <c r="G230" s="129" t="s">
        <v>1836</v>
      </c>
      <c r="H230" s="54" t="s">
        <v>52</v>
      </c>
      <c r="I230" s="54"/>
      <c r="J230" s="54">
        <v>25</v>
      </c>
      <c r="K230" s="54"/>
      <c r="L230" s="54" t="s">
        <v>63</v>
      </c>
      <c r="M230" s="49" t="s">
        <v>635</v>
      </c>
    </row>
    <row r="231" spans="1:14" ht="36" x14ac:dyDescent="0.2">
      <c r="A231" s="37">
        <v>603</v>
      </c>
      <c r="B231" s="36" t="s">
        <v>511</v>
      </c>
      <c r="C231" s="50" t="str">
        <f>HYPERLINK("#Particularidade!"&amp;ADDRESS(MATCH(B231,Particularidade!B:B,0),2),"Ir para particularidadedes")</f>
        <v>Ir para particularidadedes</v>
      </c>
      <c r="D231" s="51" t="s">
        <v>1344</v>
      </c>
      <c r="E231" s="51" t="s">
        <v>1129</v>
      </c>
      <c r="F231" s="51" t="s">
        <v>613</v>
      </c>
      <c r="G231" s="53" t="s">
        <v>45</v>
      </c>
      <c r="H231" s="37" t="s">
        <v>50</v>
      </c>
      <c r="I231" s="54">
        <v>1</v>
      </c>
      <c r="J231" s="57">
        <v>3</v>
      </c>
      <c r="K231" s="57"/>
      <c r="L231" s="57" t="s">
        <v>63</v>
      </c>
      <c r="M231" s="56" t="s">
        <v>777</v>
      </c>
    </row>
    <row r="232" spans="1:14" ht="36" x14ac:dyDescent="0.2">
      <c r="A232" s="36">
        <v>604</v>
      </c>
      <c r="B232" s="36" t="s">
        <v>1346</v>
      </c>
      <c r="C232" s="50" t="str">
        <f>HYPERLINK("#Particularidade!"&amp;ADDRESS(MATCH(B232,Particularidade!B:B,0),2),"Ir para particularidadedes")</f>
        <v>Ir para particularidadedes</v>
      </c>
      <c r="D232" s="51" t="s">
        <v>1345</v>
      </c>
      <c r="E232" s="51"/>
      <c r="F232" s="52" t="s">
        <v>613</v>
      </c>
      <c r="G232" s="129" t="s">
        <v>1836</v>
      </c>
      <c r="H232" s="36" t="s">
        <v>39</v>
      </c>
      <c r="I232" s="57" t="s">
        <v>57</v>
      </c>
      <c r="J232" s="54">
        <v>21</v>
      </c>
      <c r="K232" s="54"/>
      <c r="L232" s="54" t="s">
        <v>63</v>
      </c>
      <c r="M232" s="56" t="s">
        <v>1751</v>
      </c>
    </row>
    <row r="233" spans="1:14" ht="48" x14ac:dyDescent="0.2">
      <c r="A233" s="38">
        <v>605</v>
      </c>
      <c r="B233" s="38" t="s">
        <v>1348</v>
      </c>
      <c r="C233" s="50" t="str">
        <f>HYPERLINK("#Particularidade!"&amp;ADDRESS(MATCH(B233,Particularidade!B:B,0),2),"Ir para particularidadedes")</f>
        <v>Ir para particularidadedes</v>
      </c>
      <c r="D233" s="51" t="s">
        <v>1347</v>
      </c>
      <c r="E233" s="51"/>
      <c r="F233" s="52" t="s">
        <v>613</v>
      </c>
      <c r="G233" s="53" t="s">
        <v>45</v>
      </c>
      <c r="H233" s="67" t="s">
        <v>50</v>
      </c>
      <c r="I233" s="67"/>
      <c r="J233" s="67">
        <v>21</v>
      </c>
      <c r="K233" s="67"/>
      <c r="L233" s="67" t="s">
        <v>63</v>
      </c>
      <c r="M233" s="66" t="s">
        <v>636</v>
      </c>
    </row>
    <row r="234" spans="1:14" ht="36" x14ac:dyDescent="0.2">
      <c r="A234" s="37">
        <v>606</v>
      </c>
      <c r="B234" s="135" t="s">
        <v>1350</v>
      </c>
      <c r="C234" s="50" t="str">
        <f>HYPERLINK("#Particularidade!"&amp;ADDRESS(MATCH(B234,Particularidade!B:B,0),2),"Ir para particularidadedes")</f>
        <v>Ir para particularidadedes</v>
      </c>
      <c r="D234" s="51" t="s">
        <v>1349</v>
      </c>
      <c r="E234" s="51" t="s">
        <v>1147</v>
      </c>
      <c r="F234" s="52" t="s">
        <v>822</v>
      </c>
      <c r="G234" s="129" t="s">
        <v>46</v>
      </c>
      <c r="H234" s="57" t="s">
        <v>50</v>
      </c>
      <c r="I234" s="57">
        <v>3</v>
      </c>
      <c r="J234" s="57">
        <v>28</v>
      </c>
      <c r="K234" s="57"/>
      <c r="L234" s="57" t="s">
        <v>63</v>
      </c>
      <c r="M234" s="56" t="s">
        <v>1752</v>
      </c>
    </row>
    <row r="235" spans="1:14" x14ac:dyDescent="0.2">
      <c r="A235" s="37">
        <v>607</v>
      </c>
      <c r="B235" s="36" t="s">
        <v>514</v>
      </c>
      <c r="C235" s="50" t="str">
        <f>HYPERLINK("#Particularidade!"&amp;ADDRESS(MATCH(B235,Particularidade!B:B,0),2),"Ir para particularidadedes")</f>
        <v>Ir para particularidadedes</v>
      </c>
      <c r="D235" s="51" t="s">
        <v>1351</v>
      </c>
      <c r="E235" s="51"/>
      <c r="F235" s="52" t="s">
        <v>613</v>
      </c>
      <c r="G235" s="134"/>
      <c r="H235" s="37" t="s">
        <v>52</v>
      </c>
      <c r="I235" s="57"/>
      <c r="J235" s="57">
        <v>28</v>
      </c>
      <c r="K235" s="57"/>
      <c r="L235" s="57" t="s">
        <v>63</v>
      </c>
      <c r="M235" s="56" t="s">
        <v>156</v>
      </c>
    </row>
    <row r="236" spans="1:14" ht="24" x14ac:dyDescent="0.2">
      <c r="A236" s="37">
        <v>662</v>
      </c>
      <c r="B236" s="36" t="s">
        <v>1354</v>
      </c>
      <c r="C236" s="50" t="str">
        <f>HYPERLINK("#Particularidade!"&amp;ADDRESS(MATCH(B236,Particularidade!B:B,0),2),"Ir para particularidadedes")</f>
        <v>Ir para particularidadedes</v>
      </c>
      <c r="D236" s="51" t="s">
        <v>1353</v>
      </c>
      <c r="E236" s="51" t="s">
        <v>947</v>
      </c>
      <c r="F236" s="51" t="s">
        <v>613</v>
      </c>
      <c r="G236" s="126" t="s">
        <v>46</v>
      </c>
      <c r="H236" s="57" t="s">
        <v>41</v>
      </c>
      <c r="I236" s="54">
        <v>9</v>
      </c>
      <c r="J236" s="57">
        <v>25</v>
      </c>
      <c r="K236" s="57"/>
      <c r="L236" s="63" t="s">
        <v>63</v>
      </c>
      <c r="M236" s="56" t="s">
        <v>1753</v>
      </c>
      <c r="N236" s="131"/>
    </row>
    <row r="237" spans="1:14" ht="36" x14ac:dyDescent="0.2">
      <c r="A237" s="37">
        <v>262</v>
      </c>
      <c r="B237" s="36" t="s">
        <v>316</v>
      </c>
      <c r="C237" s="50" t="str">
        <f>HYPERLINK("#Particularidade!"&amp;ADDRESS(MATCH(B237,Particularidade!B:B,0),2),"Ir para particularidadedes")</f>
        <v>Ir para particularidadedes</v>
      </c>
      <c r="D237" s="51" t="s">
        <v>967</v>
      </c>
      <c r="E237" s="51" t="s">
        <v>968</v>
      </c>
      <c r="F237" s="52" t="s">
        <v>969</v>
      </c>
      <c r="G237" s="53" t="s">
        <v>45</v>
      </c>
      <c r="H237" s="57" t="s">
        <v>41</v>
      </c>
      <c r="I237" s="54">
        <v>2</v>
      </c>
      <c r="J237" s="54">
        <v>28</v>
      </c>
      <c r="K237" s="54" t="s">
        <v>1684</v>
      </c>
      <c r="L237" s="57" t="s">
        <v>63</v>
      </c>
      <c r="M237" s="56" t="s">
        <v>98</v>
      </c>
      <c r="N237" s="131" t="s">
        <v>1687</v>
      </c>
    </row>
    <row r="238" spans="1:14" ht="48" x14ac:dyDescent="0.2">
      <c r="A238" s="37">
        <v>665</v>
      </c>
      <c r="B238" s="36" t="s">
        <v>1357</v>
      </c>
      <c r="C238" s="50" t="str">
        <f>HYPERLINK("#Particularidade!"&amp;ADDRESS(MATCH(B238,Particularidade!B:B,0),2),"Ir para particularidadedes")</f>
        <v>Ir para particularidadedes</v>
      </c>
      <c r="D238" s="51" t="s">
        <v>1356</v>
      </c>
      <c r="E238" s="51" t="s">
        <v>1355</v>
      </c>
      <c r="F238" s="51" t="s">
        <v>613</v>
      </c>
      <c r="G238" s="53" t="s">
        <v>45</v>
      </c>
      <c r="H238" s="57" t="s">
        <v>50</v>
      </c>
      <c r="I238" s="54">
        <v>4</v>
      </c>
      <c r="J238" s="57">
        <v>28</v>
      </c>
      <c r="K238" s="57"/>
      <c r="L238" s="57" t="s">
        <v>63</v>
      </c>
      <c r="M238" s="56" t="s">
        <v>780</v>
      </c>
    </row>
    <row r="239" spans="1:14" s="107" customFormat="1" ht="36" x14ac:dyDescent="0.2">
      <c r="A239" s="36">
        <v>666</v>
      </c>
      <c r="B239" s="36" t="s">
        <v>1362</v>
      </c>
      <c r="C239" s="104" t="str">
        <f>HYPERLINK("#Particularidade!"&amp;ADDRESS(MATCH(B239,Particularidade!B:B,0),2),"Ir para particularidadedes")</f>
        <v>Ir para particularidadedes</v>
      </c>
      <c r="D239" s="105" t="s">
        <v>1361</v>
      </c>
      <c r="E239" s="105"/>
      <c r="F239" s="106" t="s">
        <v>613</v>
      </c>
      <c r="G239" s="108" t="s">
        <v>45</v>
      </c>
      <c r="H239" s="54" t="s">
        <v>50</v>
      </c>
      <c r="I239" s="54"/>
      <c r="J239" s="54"/>
      <c r="K239" s="54"/>
      <c r="L239" s="54" t="s">
        <v>63</v>
      </c>
      <c r="M239" s="49" t="s">
        <v>157</v>
      </c>
      <c r="N239" s="123"/>
    </row>
    <row r="240" spans="1:14" ht="60" x14ac:dyDescent="0.2">
      <c r="A240" s="37">
        <v>1081</v>
      </c>
      <c r="B240" s="36" t="s">
        <v>1259</v>
      </c>
      <c r="C240" s="50" t="str">
        <f>HYPERLINK("#Particularidade!"&amp;ADDRESS(MATCH(B240,Particularidade!B:B,0),2),"Ir para particularidadedes")</f>
        <v>Ir para particularidadedes</v>
      </c>
      <c r="D240" s="51" t="s">
        <v>1258</v>
      </c>
      <c r="E240" s="51" t="s">
        <v>1257</v>
      </c>
      <c r="F240" s="51" t="s">
        <v>617</v>
      </c>
      <c r="G240" s="53" t="s">
        <v>45</v>
      </c>
      <c r="H240" s="57" t="s">
        <v>41</v>
      </c>
      <c r="I240" s="54">
        <v>1</v>
      </c>
      <c r="J240" s="57">
        <v>28</v>
      </c>
      <c r="K240" s="57" t="s">
        <v>1683</v>
      </c>
      <c r="L240" s="54" t="s">
        <v>63</v>
      </c>
      <c r="M240" s="60" t="s">
        <v>227</v>
      </c>
      <c r="N240" s="131" t="s">
        <v>1683</v>
      </c>
    </row>
    <row r="241" spans="1:14" ht="36" x14ac:dyDescent="0.2">
      <c r="A241" s="37">
        <v>668</v>
      </c>
      <c r="B241" s="36" t="s">
        <v>517</v>
      </c>
      <c r="C241" s="50" t="str">
        <f>HYPERLINK("#Particularidade!"&amp;ADDRESS(MATCH(B241,Particularidade!B:B,0),2),"Ir para particularidadedes")</f>
        <v>Ir para particularidadedes</v>
      </c>
      <c r="D241" s="51" t="s">
        <v>1366</v>
      </c>
      <c r="E241" s="51"/>
      <c r="F241" s="52" t="s">
        <v>613</v>
      </c>
      <c r="G241" s="129" t="s">
        <v>46</v>
      </c>
      <c r="H241" s="57" t="s">
        <v>50</v>
      </c>
      <c r="I241" s="54">
        <v>1</v>
      </c>
      <c r="J241" s="57">
        <v>5</v>
      </c>
      <c r="K241" s="57"/>
      <c r="L241" s="57" t="s">
        <v>63</v>
      </c>
      <c r="M241" s="56" t="s">
        <v>159</v>
      </c>
    </row>
    <row r="242" spans="1:14" ht="36" x14ac:dyDescent="0.2">
      <c r="A242" s="37">
        <v>669</v>
      </c>
      <c r="B242" s="36" t="s">
        <v>1369</v>
      </c>
      <c r="C242" s="50" t="str">
        <f>HYPERLINK("#Particularidade!"&amp;ADDRESS(MATCH(B242,Particularidade!B:B,0),2),"Ir para particularidadedes")</f>
        <v>Ir para particularidadedes</v>
      </c>
      <c r="D242" s="194" t="s">
        <v>1367</v>
      </c>
      <c r="E242" s="195" t="s">
        <v>1368</v>
      </c>
      <c r="F242" s="52" t="s">
        <v>613</v>
      </c>
      <c r="G242" s="141" t="s">
        <v>47</v>
      </c>
      <c r="H242" s="57" t="s">
        <v>41</v>
      </c>
      <c r="I242" s="57">
        <v>16</v>
      </c>
      <c r="J242" s="57">
        <v>3</v>
      </c>
      <c r="K242" s="57"/>
      <c r="L242" s="63" t="s">
        <v>63</v>
      </c>
      <c r="M242" s="56" t="s">
        <v>1828</v>
      </c>
      <c r="N242" s="131" t="s">
        <v>1683</v>
      </c>
    </row>
    <row r="243" spans="1:14" ht="36" x14ac:dyDescent="0.2">
      <c r="A243" s="37">
        <v>670</v>
      </c>
      <c r="B243" s="36" t="s">
        <v>1370</v>
      </c>
      <c r="C243" s="50" t="str">
        <f>HYPERLINK("#Particularidade!"&amp;ADDRESS(MATCH(B243,Particularidade!B:B,0),2),"Ir para particularidadedes")</f>
        <v>Ir para particularidadedes</v>
      </c>
      <c r="D243" s="51" t="s">
        <v>1371</v>
      </c>
      <c r="E243" s="51"/>
      <c r="F243" s="52" t="s">
        <v>613</v>
      </c>
      <c r="G243" s="129" t="s">
        <v>1836</v>
      </c>
      <c r="H243" s="57" t="s">
        <v>39</v>
      </c>
      <c r="I243" s="57" t="s">
        <v>57</v>
      </c>
      <c r="J243" s="57">
        <v>21</v>
      </c>
      <c r="K243" s="57"/>
      <c r="L243" s="63" t="s">
        <v>63</v>
      </c>
      <c r="M243" s="56" t="s">
        <v>1754</v>
      </c>
    </row>
    <row r="244" spans="1:14" ht="36" x14ac:dyDescent="0.2">
      <c r="A244" s="37">
        <v>674</v>
      </c>
      <c r="B244" s="36" t="s">
        <v>1373</v>
      </c>
      <c r="C244" s="50" t="str">
        <f>HYPERLINK("#Particularidade!"&amp;ADDRESS(MATCH(B244,Particularidade!B:B,0),2),"Ir para particularidadedes")</f>
        <v>Ir para particularidadedes</v>
      </c>
      <c r="D244" s="51" t="s">
        <v>1372</v>
      </c>
      <c r="E244" s="51"/>
      <c r="F244" s="52" t="s">
        <v>613</v>
      </c>
      <c r="G244" s="129" t="s">
        <v>1836</v>
      </c>
      <c r="H244" s="57" t="s">
        <v>39</v>
      </c>
      <c r="I244" s="57" t="s">
        <v>57</v>
      </c>
      <c r="J244" s="57">
        <v>21</v>
      </c>
      <c r="K244" s="57"/>
      <c r="L244" s="57" t="s">
        <v>63</v>
      </c>
      <c r="M244" s="56" t="s">
        <v>1856</v>
      </c>
    </row>
    <row r="245" spans="1:14" ht="48" x14ac:dyDescent="0.2">
      <c r="A245" s="36">
        <v>675</v>
      </c>
      <c r="B245" s="36" t="s">
        <v>1375</v>
      </c>
      <c r="C245" s="50" t="str">
        <f>HYPERLINK("#Particularidade!"&amp;ADDRESS(MATCH(B245,Particularidade!B:B,0),2),"Ir para particularidadedes")</f>
        <v>Ir para particularidadedes</v>
      </c>
      <c r="D245" s="51" t="s">
        <v>1374</v>
      </c>
      <c r="E245" s="51"/>
      <c r="F245" s="52" t="s">
        <v>1196</v>
      </c>
      <c r="G245" s="129" t="s">
        <v>46</v>
      </c>
      <c r="H245" s="57" t="s">
        <v>50</v>
      </c>
      <c r="I245" s="57">
        <v>0</v>
      </c>
      <c r="J245" s="57">
        <v>25</v>
      </c>
      <c r="K245" s="57"/>
      <c r="L245" s="57" t="s">
        <v>63</v>
      </c>
      <c r="M245" s="56" t="s">
        <v>160</v>
      </c>
    </row>
    <row r="246" spans="1:14" ht="36" x14ac:dyDescent="0.2">
      <c r="A246" s="36">
        <v>403</v>
      </c>
      <c r="B246" s="40" t="s">
        <v>1053</v>
      </c>
      <c r="C246" s="50" t="str">
        <f>HYPERLINK("#Particularidade!"&amp;ADDRESS(MATCH(B246,Particularidade!B:B,0),2),"Ir para particularidadedes")</f>
        <v>Ir para particularidadedes</v>
      </c>
      <c r="D246" s="51" t="s">
        <v>1052</v>
      </c>
      <c r="E246" s="51" t="s">
        <v>1051</v>
      </c>
      <c r="F246" s="52" t="s">
        <v>613</v>
      </c>
      <c r="G246" s="53" t="s">
        <v>45</v>
      </c>
      <c r="H246" s="57" t="s">
        <v>41</v>
      </c>
      <c r="I246" s="54">
        <v>1</v>
      </c>
      <c r="J246" s="54">
        <v>30</v>
      </c>
      <c r="K246" s="54" t="s">
        <v>1684</v>
      </c>
      <c r="L246" s="54" t="s">
        <v>63</v>
      </c>
      <c r="M246" s="68" t="s">
        <v>1691</v>
      </c>
      <c r="N246" s="131" t="s">
        <v>1683</v>
      </c>
    </row>
    <row r="247" spans="1:14" ht="60" x14ac:dyDescent="0.2">
      <c r="A247" s="36">
        <v>677</v>
      </c>
      <c r="B247" s="36" t="s">
        <v>21</v>
      </c>
      <c r="C247" s="50" t="str">
        <f>HYPERLINK("#Particularidade!"&amp;ADDRESS(MATCH(B247,Particularidade!B:B,0),2),"Ir para particularidadedes")</f>
        <v>Ir para particularidadedes</v>
      </c>
      <c r="D247" s="51" t="s">
        <v>1379</v>
      </c>
      <c r="E247" s="51"/>
      <c r="F247" s="52" t="s">
        <v>1196</v>
      </c>
      <c r="G247" s="129" t="s">
        <v>1836</v>
      </c>
      <c r="H247" s="57" t="s">
        <v>53</v>
      </c>
      <c r="I247" s="57">
        <v>2</v>
      </c>
      <c r="J247" s="57">
        <v>30</v>
      </c>
      <c r="K247" s="57"/>
      <c r="L247" s="57" t="s">
        <v>63</v>
      </c>
      <c r="M247" s="56" t="s">
        <v>788</v>
      </c>
    </row>
    <row r="248" spans="1:14" x14ac:dyDescent="0.2">
      <c r="A248" s="36">
        <v>678</v>
      </c>
      <c r="B248" s="36" t="s">
        <v>22</v>
      </c>
      <c r="C248" s="50" t="str">
        <f>HYPERLINK("#Particularidade!"&amp;ADDRESS(MATCH(B248,Particularidade!B:B,0),2),"Ir para particularidadedes")</f>
        <v>Ir para particularidadedes</v>
      </c>
      <c r="D248" s="51" t="s">
        <v>1380</v>
      </c>
      <c r="E248" s="51"/>
      <c r="F248" s="52" t="s">
        <v>1196</v>
      </c>
      <c r="G248" s="134"/>
      <c r="H248" s="57" t="s">
        <v>52</v>
      </c>
      <c r="I248" s="57"/>
      <c r="J248" s="57"/>
      <c r="K248" s="57"/>
      <c r="L248" s="57" t="s">
        <v>63</v>
      </c>
      <c r="M248" s="56" t="s">
        <v>162</v>
      </c>
    </row>
    <row r="249" spans="1:14" ht="36" x14ac:dyDescent="0.2">
      <c r="A249" s="43">
        <v>680</v>
      </c>
      <c r="B249" s="36" t="s">
        <v>1381</v>
      </c>
      <c r="C249" s="50" t="str">
        <f>HYPERLINK("#Particularidade!"&amp;ADDRESS(MATCH(B249,Particularidade!B:B,0),2),"Ir para particularidadedes")</f>
        <v>Ir para particularidadedes</v>
      </c>
      <c r="D249" s="51" t="s">
        <v>1382</v>
      </c>
      <c r="E249" s="51"/>
      <c r="F249" s="52" t="s">
        <v>613</v>
      </c>
      <c r="G249" s="129" t="s">
        <v>1836</v>
      </c>
      <c r="H249" s="43" t="s">
        <v>39</v>
      </c>
      <c r="I249" s="57" t="s">
        <v>57</v>
      </c>
      <c r="J249" s="57">
        <v>21</v>
      </c>
      <c r="K249" s="57"/>
      <c r="L249" s="43" t="s">
        <v>63</v>
      </c>
      <c r="M249" s="56" t="s">
        <v>153</v>
      </c>
    </row>
    <row r="250" spans="1:14" ht="36" x14ac:dyDescent="0.2">
      <c r="A250" s="43">
        <v>681</v>
      </c>
      <c r="B250" s="36" t="s">
        <v>23</v>
      </c>
      <c r="C250" s="50" t="str">
        <f>HYPERLINK("#Particularidade!"&amp;ADDRESS(MATCH(B250,Particularidade!B:B,0),2),"Ir para particularidadedes")</f>
        <v>Ir para particularidadedes</v>
      </c>
      <c r="D250" s="51" t="s">
        <v>1454</v>
      </c>
      <c r="E250" s="51"/>
      <c r="F250" s="52" t="s">
        <v>613</v>
      </c>
      <c r="G250" s="129" t="s">
        <v>1836</v>
      </c>
      <c r="H250" s="43" t="s">
        <v>39</v>
      </c>
      <c r="I250" s="57" t="s">
        <v>57</v>
      </c>
      <c r="J250" s="57">
        <v>21</v>
      </c>
      <c r="K250" s="57"/>
      <c r="L250" s="43" t="s">
        <v>63</v>
      </c>
      <c r="M250" s="56" t="s">
        <v>153</v>
      </c>
    </row>
    <row r="251" spans="1:14" ht="36" x14ac:dyDescent="0.2">
      <c r="A251" s="43">
        <v>682</v>
      </c>
      <c r="B251" s="36" t="s">
        <v>24</v>
      </c>
      <c r="C251" s="50" t="str">
        <f>HYPERLINK("#Particularidade!"&amp;ADDRESS(MATCH(B251,Particularidade!B:B,0),2),"Ir para particularidadedes")</f>
        <v>Ir para particularidadedes</v>
      </c>
      <c r="D251" s="51" t="s">
        <v>1455</v>
      </c>
      <c r="E251" s="51"/>
      <c r="F251" s="52" t="s">
        <v>613</v>
      </c>
      <c r="G251" s="129" t="s">
        <v>1836</v>
      </c>
      <c r="H251" s="43" t="s">
        <v>39</v>
      </c>
      <c r="I251" s="57" t="s">
        <v>57</v>
      </c>
      <c r="J251" s="57">
        <v>21</v>
      </c>
      <c r="K251" s="57"/>
      <c r="L251" s="43" t="s">
        <v>63</v>
      </c>
      <c r="M251" s="56" t="s">
        <v>153</v>
      </c>
    </row>
    <row r="252" spans="1:14" s="107" customFormat="1" ht="36" x14ac:dyDescent="0.2">
      <c r="A252" s="44">
        <v>683</v>
      </c>
      <c r="B252" s="36" t="s">
        <v>1456</v>
      </c>
      <c r="C252" s="104" t="str">
        <f>HYPERLINK("#Particularidade!"&amp;ADDRESS(MATCH(B252,Particularidade!B:B,0),2),"Ir para particularidadedes")</f>
        <v>Ir para particularidadedes</v>
      </c>
      <c r="D252" s="105" t="s">
        <v>1457</v>
      </c>
      <c r="E252" s="105"/>
      <c r="F252" s="106" t="s">
        <v>613</v>
      </c>
      <c r="G252" s="108" t="s">
        <v>1836</v>
      </c>
      <c r="H252" s="54" t="s">
        <v>52</v>
      </c>
      <c r="I252" s="54" t="s">
        <v>57</v>
      </c>
      <c r="J252" s="54">
        <v>21</v>
      </c>
      <c r="K252" s="54"/>
      <c r="L252" s="44" t="s">
        <v>63</v>
      </c>
      <c r="M252" s="58" t="s">
        <v>1755</v>
      </c>
      <c r="N252" s="123"/>
    </row>
    <row r="253" spans="1:14" ht="36" x14ac:dyDescent="0.2">
      <c r="A253" s="37">
        <v>700</v>
      </c>
      <c r="B253" s="36" t="s">
        <v>1486</v>
      </c>
      <c r="C253" s="50" t="str">
        <f>HYPERLINK("#Particularidade!"&amp;ADDRESS(MATCH(B253,Particularidade!B:B,0),2),"Ir para particularidadedes")</f>
        <v>Ir para particularidadedes</v>
      </c>
      <c r="D253" s="51" t="s">
        <v>1485</v>
      </c>
      <c r="E253" s="51" t="s">
        <v>1484</v>
      </c>
      <c r="F253" s="52" t="s">
        <v>613</v>
      </c>
      <c r="G253" s="53" t="s">
        <v>45</v>
      </c>
      <c r="H253" s="57" t="s">
        <v>41</v>
      </c>
      <c r="I253" s="36">
        <v>1</v>
      </c>
      <c r="J253" s="37">
        <v>28</v>
      </c>
      <c r="K253" s="37" t="s">
        <v>1689</v>
      </c>
      <c r="L253" s="63" t="s">
        <v>63</v>
      </c>
      <c r="M253" s="56" t="s">
        <v>1782</v>
      </c>
      <c r="N253" s="131" t="s">
        <v>1684</v>
      </c>
    </row>
    <row r="254" spans="1:14" s="107" customFormat="1" x14ac:dyDescent="0.2">
      <c r="A254" s="44">
        <v>685</v>
      </c>
      <c r="B254" s="36" t="s">
        <v>1462</v>
      </c>
      <c r="C254" s="104" t="str">
        <f>HYPERLINK("#Particularidade!"&amp;ADDRESS(MATCH(B254,Particularidade!B:B,0),2),"Ir para particularidadedes")</f>
        <v>Ir para particularidadedes</v>
      </c>
      <c r="D254" s="105" t="s">
        <v>1461</v>
      </c>
      <c r="E254" s="105"/>
      <c r="F254" s="106" t="s">
        <v>54</v>
      </c>
      <c r="G254" s="129" t="s">
        <v>1836</v>
      </c>
      <c r="H254" s="44" t="s">
        <v>52</v>
      </c>
      <c r="I254" s="44"/>
      <c r="J254" s="44">
        <v>21</v>
      </c>
      <c r="K254" s="44"/>
      <c r="L254" s="44" t="s">
        <v>63</v>
      </c>
      <c r="M254" s="49"/>
      <c r="N254" s="123"/>
    </row>
    <row r="255" spans="1:14" ht="48" x14ac:dyDescent="0.2">
      <c r="A255" s="43">
        <v>686</v>
      </c>
      <c r="B255" s="36" t="s">
        <v>1463</v>
      </c>
      <c r="C255" s="50" t="str">
        <f>HYPERLINK("#Particularidade!"&amp;ADDRESS(MATCH(B255,Particularidade!B:B,0),2),"Ir para particularidadedes")</f>
        <v>Ir para particularidadedes</v>
      </c>
      <c r="D255" s="51" t="s">
        <v>1464</v>
      </c>
      <c r="E255" s="51"/>
      <c r="F255" s="52" t="s">
        <v>613</v>
      </c>
      <c r="G255" s="129" t="s">
        <v>46</v>
      </c>
      <c r="H255" s="43" t="s">
        <v>50</v>
      </c>
      <c r="I255" s="44">
        <v>1</v>
      </c>
      <c r="J255" s="43">
        <v>3</v>
      </c>
      <c r="K255" s="43"/>
      <c r="L255" s="43" t="s">
        <v>63</v>
      </c>
      <c r="M255" s="56" t="s">
        <v>163</v>
      </c>
    </row>
    <row r="256" spans="1:14" ht="60" x14ac:dyDescent="0.2">
      <c r="A256" s="37">
        <v>688</v>
      </c>
      <c r="B256" s="36" t="s">
        <v>1467</v>
      </c>
      <c r="C256" s="50" t="str">
        <f>HYPERLINK("#Particularidade!"&amp;ADDRESS(MATCH(B256,Particularidade!B:B,0),2),"Ir para particularidadedes")</f>
        <v>Ir para particularidadedes</v>
      </c>
      <c r="D256" s="51" t="s">
        <v>1466</v>
      </c>
      <c r="E256" s="51" t="s">
        <v>1465</v>
      </c>
      <c r="F256" s="52" t="s">
        <v>613</v>
      </c>
      <c r="G256" s="143" t="s">
        <v>46</v>
      </c>
      <c r="H256" s="37" t="s">
        <v>41</v>
      </c>
      <c r="I256" s="36">
        <v>6</v>
      </c>
      <c r="J256" s="37">
        <v>3</v>
      </c>
      <c r="K256" s="37"/>
      <c r="L256" s="37" t="s">
        <v>63</v>
      </c>
      <c r="M256" s="138" t="s">
        <v>164</v>
      </c>
      <c r="N256" s="131" t="s">
        <v>1683</v>
      </c>
    </row>
    <row r="257" spans="1:14" ht="36" x14ac:dyDescent="0.2">
      <c r="A257" s="43">
        <v>689</v>
      </c>
      <c r="B257" s="36" t="s">
        <v>1468</v>
      </c>
      <c r="C257" s="50" t="str">
        <f>HYPERLINK("#Particularidade!"&amp;ADDRESS(MATCH(B257,Particularidade!B:B,0),2),"Ir para particularidadedes")</f>
        <v>Ir para particularidadedes</v>
      </c>
      <c r="D257" s="51" t="s">
        <v>1469</v>
      </c>
      <c r="E257" s="51"/>
      <c r="F257" s="52" t="s">
        <v>614</v>
      </c>
      <c r="G257" s="129" t="s">
        <v>1836</v>
      </c>
      <c r="H257" s="43" t="s">
        <v>39</v>
      </c>
      <c r="I257" s="57" t="s">
        <v>57</v>
      </c>
      <c r="J257" s="57">
        <v>21</v>
      </c>
      <c r="K257" s="57"/>
      <c r="L257" s="43" t="s">
        <v>63</v>
      </c>
      <c r="M257" s="56" t="s">
        <v>165</v>
      </c>
    </row>
    <row r="258" spans="1:14" ht="36" x14ac:dyDescent="0.2">
      <c r="A258" s="43">
        <v>691</v>
      </c>
      <c r="B258" s="36" t="s">
        <v>1470</v>
      </c>
      <c r="C258" s="50" t="str">
        <f>HYPERLINK("#Particularidade!"&amp;ADDRESS(MATCH(B258,Particularidade!B:B,0),2),"Ir para particularidadedes")</f>
        <v>Ir para particularidadedes</v>
      </c>
      <c r="D258" s="51" t="s">
        <v>1471</v>
      </c>
      <c r="E258" s="51"/>
      <c r="F258" s="52" t="s">
        <v>613</v>
      </c>
      <c r="G258" s="129" t="s">
        <v>1836</v>
      </c>
      <c r="H258" s="43" t="s">
        <v>39</v>
      </c>
      <c r="I258" s="57" t="s">
        <v>57</v>
      </c>
      <c r="J258" s="57">
        <v>21</v>
      </c>
      <c r="K258" s="57"/>
      <c r="L258" s="43" t="s">
        <v>63</v>
      </c>
      <c r="M258" s="56" t="s">
        <v>165</v>
      </c>
    </row>
    <row r="259" spans="1:14" ht="36" x14ac:dyDescent="0.2">
      <c r="A259" s="37">
        <v>692</v>
      </c>
      <c r="B259" s="36" t="s">
        <v>1474</v>
      </c>
      <c r="C259" s="50" t="str">
        <f>HYPERLINK("#Particularidade!"&amp;ADDRESS(MATCH(B259,Particularidade!B:B,0),2),"Ir para particularidadedes")</f>
        <v>Ir para particularidadedes</v>
      </c>
      <c r="D259" s="51" t="s">
        <v>1473</v>
      </c>
      <c r="E259" s="51" t="s">
        <v>1472</v>
      </c>
      <c r="F259" s="52" t="s">
        <v>613</v>
      </c>
      <c r="G259" s="143" t="s">
        <v>46</v>
      </c>
      <c r="H259" s="37" t="s">
        <v>41</v>
      </c>
      <c r="I259" s="36">
        <v>5</v>
      </c>
      <c r="J259" s="37">
        <v>3</v>
      </c>
      <c r="K259" s="37"/>
      <c r="L259" s="37" t="s">
        <v>63</v>
      </c>
      <c r="M259" s="56" t="s">
        <v>166</v>
      </c>
      <c r="N259" s="131" t="s">
        <v>1683</v>
      </c>
    </row>
    <row r="260" spans="1:14" ht="36" x14ac:dyDescent="0.2">
      <c r="A260" s="43">
        <v>693</v>
      </c>
      <c r="B260" s="36" t="s">
        <v>1475</v>
      </c>
      <c r="C260" s="50" t="str">
        <f>HYPERLINK("#Particularidade!"&amp;ADDRESS(MATCH(B260,Particularidade!B:B,0),2),"Ir para particularidadedes")</f>
        <v>Ir para particularidadedes</v>
      </c>
      <c r="D260" s="51" t="s">
        <v>1476</v>
      </c>
      <c r="E260" s="51"/>
      <c r="F260" s="52" t="s">
        <v>613</v>
      </c>
      <c r="G260" s="134" t="s">
        <v>46</v>
      </c>
      <c r="H260" s="43" t="s">
        <v>52</v>
      </c>
      <c r="I260" s="43">
        <v>0</v>
      </c>
      <c r="J260" s="43">
        <v>3</v>
      </c>
      <c r="K260" s="43"/>
      <c r="L260" s="43" t="s">
        <v>63</v>
      </c>
      <c r="M260" s="56" t="s">
        <v>167</v>
      </c>
    </row>
    <row r="261" spans="1:14" ht="36" x14ac:dyDescent="0.2">
      <c r="A261" s="43">
        <v>695</v>
      </c>
      <c r="B261" s="36" t="s">
        <v>1477</v>
      </c>
      <c r="C261" s="50" t="str">
        <f>HYPERLINK("#Particularidade!"&amp;ADDRESS(MATCH(B261,Particularidade!B:B,0),2),"Ir para particularidadedes")</f>
        <v>Ir para particularidadedes</v>
      </c>
      <c r="D261" s="51" t="s">
        <v>1478</v>
      </c>
      <c r="E261" s="51"/>
      <c r="F261" s="52" t="s">
        <v>613</v>
      </c>
      <c r="G261" s="129" t="s">
        <v>1836</v>
      </c>
      <c r="H261" s="43" t="s">
        <v>39</v>
      </c>
      <c r="I261" s="57" t="s">
        <v>57</v>
      </c>
      <c r="J261" s="57">
        <v>21</v>
      </c>
      <c r="K261" s="57"/>
      <c r="L261" s="43" t="s">
        <v>63</v>
      </c>
      <c r="M261" s="56" t="s">
        <v>168</v>
      </c>
    </row>
    <row r="262" spans="1:14" ht="48" x14ac:dyDescent="0.2">
      <c r="A262" s="37">
        <v>178</v>
      </c>
      <c r="B262" s="36" t="s">
        <v>914</v>
      </c>
      <c r="C262" s="50" t="str">
        <f>HYPERLINK("#Particularidade!"&amp;ADDRESS(MATCH(B262,Particularidade!B:B,0),2),"Ir para particularidadedes")</f>
        <v>Ir para particularidadedes</v>
      </c>
      <c r="D262" s="51" t="s">
        <v>912</v>
      </c>
      <c r="E262" s="51" t="s">
        <v>913</v>
      </c>
      <c r="F262" s="52" t="s">
        <v>617</v>
      </c>
      <c r="G262" s="53" t="s">
        <v>45</v>
      </c>
      <c r="H262" s="57" t="s">
        <v>41</v>
      </c>
      <c r="I262" s="54">
        <v>1</v>
      </c>
      <c r="J262" s="57">
        <v>28</v>
      </c>
      <c r="K262" s="57" t="s">
        <v>1684</v>
      </c>
      <c r="L262" s="57" t="s">
        <v>63</v>
      </c>
      <c r="M262" s="60" t="s">
        <v>1721</v>
      </c>
      <c r="N262" s="131" t="s">
        <v>1687</v>
      </c>
    </row>
    <row r="263" spans="1:14" ht="36" x14ac:dyDescent="0.2">
      <c r="A263" s="43">
        <v>699</v>
      </c>
      <c r="B263" s="36" t="s">
        <v>1482</v>
      </c>
      <c r="C263" s="50" t="str">
        <f>HYPERLINK("#Particularidade!"&amp;ADDRESS(MATCH(B263,Particularidade!B:B,0),2),"Ir para particularidadedes")</f>
        <v>Ir para particularidadedes</v>
      </c>
      <c r="D263" s="51" t="s">
        <v>1483</v>
      </c>
      <c r="E263" s="51"/>
      <c r="F263" s="52" t="s">
        <v>613</v>
      </c>
      <c r="G263" s="129" t="s">
        <v>1836</v>
      </c>
      <c r="H263" s="43" t="s">
        <v>39</v>
      </c>
      <c r="I263" s="57" t="s">
        <v>57</v>
      </c>
      <c r="J263" s="57">
        <v>21</v>
      </c>
      <c r="K263" s="57"/>
      <c r="L263" s="44" t="s">
        <v>63</v>
      </c>
      <c r="M263" s="56" t="s">
        <v>168</v>
      </c>
    </row>
    <row r="264" spans="1:14" ht="36" x14ac:dyDescent="0.2">
      <c r="A264" s="37">
        <v>281</v>
      </c>
      <c r="B264" s="36" t="s">
        <v>978</v>
      </c>
      <c r="C264" s="50" t="str">
        <f>HYPERLINK("#Particularidade!"&amp;ADDRESS(MATCH(B264,Particularidade!B:B,0),2),"Ir para particularidadedes")</f>
        <v>Ir para particularidadedes</v>
      </c>
      <c r="D264" s="51" t="s">
        <v>977</v>
      </c>
      <c r="E264" s="51" t="s">
        <v>971</v>
      </c>
      <c r="F264" s="52" t="s">
        <v>613</v>
      </c>
      <c r="G264" s="53" t="s">
        <v>45</v>
      </c>
      <c r="H264" s="64" t="s">
        <v>41</v>
      </c>
      <c r="I264" s="65">
        <v>1</v>
      </c>
      <c r="J264" s="57">
        <v>28</v>
      </c>
      <c r="K264" s="57" t="s">
        <v>1684</v>
      </c>
      <c r="L264" s="57" t="s">
        <v>63</v>
      </c>
      <c r="M264" s="60" t="s">
        <v>65</v>
      </c>
      <c r="N264" s="131" t="s">
        <v>1687</v>
      </c>
    </row>
    <row r="265" spans="1:14" ht="36" x14ac:dyDescent="0.2">
      <c r="A265" s="37">
        <v>702</v>
      </c>
      <c r="B265" s="36" t="s">
        <v>1487</v>
      </c>
      <c r="C265" s="50" t="str">
        <f>HYPERLINK("#Particularidade!"&amp;ADDRESS(MATCH(B265,Particularidade!B:B,0),2),"Ir para particularidadedes")</f>
        <v>Ir para particularidadedes</v>
      </c>
      <c r="D265" s="51" t="s">
        <v>1488</v>
      </c>
      <c r="E265" s="51"/>
      <c r="F265" s="52" t="s">
        <v>613</v>
      </c>
      <c r="G265" s="129" t="s">
        <v>1836</v>
      </c>
      <c r="H265" s="57" t="s">
        <v>39</v>
      </c>
      <c r="I265" s="57" t="s">
        <v>57</v>
      </c>
      <c r="J265" s="37">
        <v>21</v>
      </c>
      <c r="K265" s="37"/>
      <c r="L265" s="54" t="s">
        <v>63</v>
      </c>
      <c r="M265" s="56" t="s">
        <v>168</v>
      </c>
    </row>
    <row r="266" spans="1:14" x14ac:dyDescent="0.2">
      <c r="A266" s="80">
        <v>703</v>
      </c>
      <c r="B266" s="76" t="s">
        <v>1489</v>
      </c>
      <c r="C266" s="50" t="str">
        <f>HYPERLINK("#Particularidade!"&amp;ADDRESS(MATCH(B266,Particularidade!B:B,0),2),"Ir para particularidadedes")</f>
        <v>Ir para particularidadedes</v>
      </c>
      <c r="D266" s="51" t="s">
        <v>1490</v>
      </c>
      <c r="E266" s="51"/>
      <c r="F266" s="52" t="s">
        <v>614</v>
      </c>
      <c r="G266" s="129" t="s">
        <v>46</v>
      </c>
      <c r="H266" s="80" t="s">
        <v>50</v>
      </c>
      <c r="I266" s="80"/>
      <c r="J266" s="80">
        <v>21</v>
      </c>
      <c r="K266" s="80"/>
      <c r="L266" s="80" t="s">
        <v>63</v>
      </c>
      <c r="M266" s="154" t="s">
        <v>169</v>
      </c>
    </row>
    <row r="267" spans="1:14" ht="36" x14ac:dyDescent="0.2">
      <c r="A267" s="44">
        <v>704</v>
      </c>
      <c r="B267" s="36" t="s">
        <v>1492</v>
      </c>
      <c r="C267" s="50" t="str">
        <f>HYPERLINK("#Particularidade!"&amp;ADDRESS(MATCH(B267,Particularidade!B:B,0),2),"Ir para particularidadedes")</f>
        <v>Ir para particularidadedes</v>
      </c>
      <c r="D267" s="51" t="s">
        <v>1491</v>
      </c>
      <c r="E267" s="51"/>
      <c r="F267" s="52" t="s">
        <v>1196</v>
      </c>
      <c r="G267" s="129" t="s">
        <v>1836</v>
      </c>
      <c r="H267" s="37" t="s">
        <v>53</v>
      </c>
      <c r="I267" s="44">
        <v>1</v>
      </c>
      <c r="J267" s="43">
        <v>28</v>
      </c>
      <c r="K267" s="43"/>
      <c r="L267" s="43" t="s">
        <v>63</v>
      </c>
      <c r="M267" s="56" t="s">
        <v>1756</v>
      </c>
    </row>
    <row r="268" spans="1:14" ht="36" x14ac:dyDescent="0.2">
      <c r="A268" s="43">
        <v>705</v>
      </c>
      <c r="B268" s="36" t="s">
        <v>25</v>
      </c>
      <c r="C268" s="50" t="str">
        <f>HYPERLINK("#Particularidade!"&amp;ADDRESS(MATCH(B268,Particularidade!B:B,0),2),"Ir para particularidadedes")</f>
        <v>Ir para particularidadedes</v>
      </c>
      <c r="D268" s="51" t="s">
        <v>1493</v>
      </c>
      <c r="E268" s="51"/>
      <c r="F268" s="52" t="s">
        <v>613</v>
      </c>
      <c r="G268" s="129" t="s">
        <v>1836</v>
      </c>
      <c r="H268" s="43" t="s">
        <v>39</v>
      </c>
      <c r="I268" s="57" t="s">
        <v>57</v>
      </c>
      <c r="J268" s="57">
        <v>21</v>
      </c>
      <c r="K268" s="57"/>
      <c r="L268" s="44" t="s">
        <v>63</v>
      </c>
      <c r="M268" s="56" t="s">
        <v>170</v>
      </c>
    </row>
    <row r="269" spans="1:14" ht="36" x14ac:dyDescent="0.2">
      <c r="A269" s="43">
        <v>707</v>
      </c>
      <c r="B269" s="36" t="s">
        <v>1494</v>
      </c>
      <c r="C269" s="50" t="str">
        <f>HYPERLINK("#Particularidade!"&amp;ADDRESS(MATCH(B269,Particularidade!B:B,0),2),"Ir para particularidadedes")</f>
        <v>Ir para particularidadedes</v>
      </c>
      <c r="D269" s="51" t="s">
        <v>1495</v>
      </c>
      <c r="E269" s="51"/>
      <c r="F269" s="52" t="s">
        <v>613</v>
      </c>
      <c r="G269" s="129" t="s">
        <v>1836</v>
      </c>
      <c r="H269" s="43" t="s">
        <v>39</v>
      </c>
      <c r="I269" s="57" t="s">
        <v>57</v>
      </c>
      <c r="J269" s="57">
        <v>21</v>
      </c>
      <c r="K269" s="57"/>
      <c r="L269" s="44" t="s">
        <v>63</v>
      </c>
      <c r="M269" s="56" t="s">
        <v>1861</v>
      </c>
    </row>
    <row r="270" spans="1:14" ht="36" x14ac:dyDescent="0.2">
      <c r="A270" s="44">
        <v>709</v>
      </c>
      <c r="B270" s="36" t="s">
        <v>1496</v>
      </c>
      <c r="C270" s="50" t="str">
        <f>HYPERLINK("#Particularidade!"&amp;ADDRESS(MATCH(B270,Particularidade!B:B,0),2),"Ir para particularidadedes")</f>
        <v>Ir para particularidadedes</v>
      </c>
      <c r="D270" s="51" t="s">
        <v>1497</v>
      </c>
      <c r="E270" s="51"/>
      <c r="F270" s="52" t="s">
        <v>614</v>
      </c>
      <c r="G270" s="129" t="s">
        <v>1836</v>
      </c>
      <c r="H270" s="44" t="s">
        <v>39</v>
      </c>
      <c r="I270" s="57" t="s">
        <v>57</v>
      </c>
      <c r="J270" s="44">
        <v>21</v>
      </c>
      <c r="K270" s="44"/>
      <c r="L270" s="44" t="s">
        <v>63</v>
      </c>
      <c r="M270" s="56" t="s">
        <v>1857</v>
      </c>
    </row>
    <row r="271" spans="1:14" ht="36" x14ac:dyDescent="0.2">
      <c r="A271" s="37">
        <v>730</v>
      </c>
      <c r="B271" s="36" t="s">
        <v>530</v>
      </c>
      <c r="C271" s="50" t="str">
        <f>HYPERLINK("#Particularidade!"&amp;ADDRESS(MATCH(B271,Particularidade!B:B,0),2),"Ir para particularidadedes")</f>
        <v>Ir para particularidadedes</v>
      </c>
      <c r="D271" s="51" t="s">
        <v>1499</v>
      </c>
      <c r="E271" s="51" t="s">
        <v>1498</v>
      </c>
      <c r="F271" s="52" t="s">
        <v>613</v>
      </c>
      <c r="G271" s="143" t="s">
        <v>46</v>
      </c>
      <c r="H271" s="37" t="s">
        <v>41</v>
      </c>
      <c r="I271" s="36">
        <v>5</v>
      </c>
      <c r="J271" s="37">
        <v>28</v>
      </c>
      <c r="K271" s="37"/>
      <c r="L271" s="37" t="s">
        <v>63</v>
      </c>
      <c r="M271" s="56" t="s">
        <v>172</v>
      </c>
      <c r="N271" s="131"/>
    </row>
    <row r="272" spans="1:14" ht="24" x14ac:dyDescent="0.2">
      <c r="A272" s="43">
        <v>731</v>
      </c>
      <c r="B272" s="36" t="s">
        <v>529</v>
      </c>
      <c r="C272" s="50" t="str">
        <f>HYPERLINK("#Particularidade!"&amp;ADDRESS(MATCH(B272,Particularidade!B:B,0),2),"Ir para particularidadedes")</f>
        <v>Ir para particularidadedes</v>
      </c>
      <c r="D272" s="51" t="s">
        <v>1501</v>
      </c>
      <c r="E272" s="51" t="s">
        <v>1500</v>
      </c>
      <c r="F272" s="51" t="s">
        <v>613</v>
      </c>
      <c r="G272" s="129" t="s">
        <v>1836</v>
      </c>
      <c r="H272" s="43" t="s">
        <v>39</v>
      </c>
      <c r="I272" s="44" t="s">
        <v>57</v>
      </c>
      <c r="J272" s="43">
        <v>21</v>
      </c>
      <c r="K272" s="43"/>
      <c r="L272" s="43" t="s">
        <v>63</v>
      </c>
      <c r="M272" s="56" t="s">
        <v>1235</v>
      </c>
    </row>
    <row r="273" spans="1:14" x14ac:dyDescent="0.2">
      <c r="A273" s="36">
        <v>860</v>
      </c>
      <c r="B273" s="115" t="s">
        <v>1433</v>
      </c>
      <c r="C273" s="50" t="str">
        <f>HYPERLINK("#Particularidade!"&amp;ADDRESS(MATCH(B273,Particularidade!B:B,0),2),"Ir para particularidadedes")</f>
        <v>Ir para particularidadedes</v>
      </c>
      <c r="D273" s="51" t="s">
        <v>1434</v>
      </c>
      <c r="E273" s="51"/>
      <c r="F273" s="52" t="s">
        <v>613</v>
      </c>
      <c r="G273" s="53" t="s">
        <v>45</v>
      </c>
      <c r="H273" s="57" t="s">
        <v>41</v>
      </c>
      <c r="I273" s="76">
        <v>2</v>
      </c>
      <c r="J273" s="77">
        <v>3</v>
      </c>
      <c r="K273" s="77" t="s">
        <v>1689</v>
      </c>
      <c r="L273" s="63" t="s">
        <v>63</v>
      </c>
      <c r="M273" s="70" t="s">
        <v>210</v>
      </c>
      <c r="N273" s="173" t="s">
        <v>1683</v>
      </c>
    </row>
    <row r="274" spans="1:14" ht="72" x14ac:dyDescent="0.2">
      <c r="A274" s="39">
        <v>496</v>
      </c>
      <c r="B274" s="111" t="s">
        <v>16</v>
      </c>
      <c r="C274" s="50" t="str">
        <f>HYPERLINK("#Particularidade!"&amp;ADDRESS(MATCH(B274,Particularidade!B:B,0),2),"Ir para particularidadedes")</f>
        <v>Ir para particularidadedes</v>
      </c>
      <c r="D274" s="197" t="s">
        <v>1178</v>
      </c>
      <c r="E274" s="197" t="s">
        <v>1177</v>
      </c>
      <c r="F274" s="52" t="s">
        <v>614</v>
      </c>
      <c r="G274" s="53" t="s">
        <v>45</v>
      </c>
      <c r="H274" s="54" t="s">
        <v>41</v>
      </c>
      <c r="I274" s="54">
        <v>2</v>
      </c>
      <c r="J274" s="54">
        <v>3</v>
      </c>
      <c r="K274" s="54" t="s">
        <v>1689</v>
      </c>
      <c r="L274" s="54" t="s">
        <v>63</v>
      </c>
      <c r="M274" s="56" t="s">
        <v>660</v>
      </c>
      <c r="N274" s="131" t="s">
        <v>1683</v>
      </c>
    </row>
    <row r="275" spans="1:14" ht="24" x14ac:dyDescent="0.2">
      <c r="A275" s="36">
        <v>802</v>
      </c>
      <c r="B275" s="36" t="s">
        <v>1641</v>
      </c>
      <c r="C275" s="50" t="str">
        <f>HYPERLINK("#Particularidade!"&amp;ADDRESS(MATCH(B275,Particularidade!B:B,0),2),"Ir para particularidadedes")</f>
        <v>Ir para particularidadedes</v>
      </c>
      <c r="D275" s="51" t="s">
        <v>1640</v>
      </c>
      <c r="E275" s="51" t="s">
        <v>1295</v>
      </c>
      <c r="F275" s="52" t="s">
        <v>613</v>
      </c>
      <c r="G275" s="53" t="s">
        <v>45</v>
      </c>
      <c r="H275" s="57" t="s">
        <v>41</v>
      </c>
      <c r="I275" s="76">
        <v>4</v>
      </c>
      <c r="J275" s="78">
        <v>3</v>
      </c>
      <c r="K275" s="76" t="s">
        <v>1689</v>
      </c>
      <c r="L275" s="63" t="s">
        <v>63</v>
      </c>
      <c r="M275" s="56" t="s">
        <v>1707</v>
      </c>
      <c r="N275" s="131" t="s">
        <v>1684</v>
      </c>
    </row>
    <row r="276" spans="1:14" ht="36" x14ac:dyDescent="0.2">
      <c r="A276" s="37">
        <v>759</v>
      </c>
      <c r="B276" s="36" t="s">
        <v>1508</v>
      </c>
      <c r="C276" s="50" t="str">
        <f>HYPERLINK("#Particularidade!"&amp;ADDRESS(MATCH(B276,Particularidade!B:B,0),2),"Ir para particularidadedes")</f>
        <v>Ir para particularidadedes</v>
      </c>
      <c r="D276" s="51" t="s">
        <v>1509</v>
      </c>
      <c r="E276" s="51"/>
      <c r="F276" s="52" t="s">
        <v>613</v>
      </c>
      <c r="G276" s="129" t="s">
        <v>1836</v>
      </c>
      <c r="H276" s="37" t="s">
        <v>52</v>
      </c>
      <c r="I276" s="57" t="s">
        <v>57</v>
      </c>
      <c r="J276" s="37">
        <v>21</v>
      </c>
      <c r="K276" s="37"/>
      <c r="L276" s="54" t="s">
        <v>63</v>
      </c>
      <c r="M276" s="56" t="s">
        <v>171</v>
      </c>
    </row>
    <row r="277" spans="1:14" ht="36" x14ac:dyDescent="0.2">
      <c r="A277" s="37">
        <v>760</v>
      </c>
      <c r="B277" s="36" t="s">
        <v>1512</v>
      </c>
      <c r="C277" s="50" t="str">
        <f>HYPERLINK("#Particularidade!"&amp;ADDRESS(MATCH(B277,Particularidade!B:B,0),2),"Ir para particularidadedes")</f>
        <v>Ir para particularidadedes</v>
      </c>
      <c r="D277" s="51" t="s">
        <v>1511</v>
      </c>
      <c r="E277" s="51" t="s">
        <v>1510</v>
      </c>
      <c r="F277" s="52" t="s">
        <v>613</v>
      </c>
      <c r="G277" s="137" t="s">
        <v>46</v>
      </c>
      <c r="H277" s="37" t="s">
        <v>41</v>
      </c>
      <c r="I277" s="36">
        <v>6</v>
      </c>
      <c r="J277" s="37">
        <v>28</v>
      </c>
      <c r="K277" s="37"/>
      <c r="L277" s="37" t="s">
        <v>63</v>
      </c>
      <c r="M277" s="56" t="s">
        <v>174</v>
      </c>
      <c r="N277" s="148" t="s">
        <v>1683</v>
      </c>
    </row>
    <row r="278" spans="1:14" ht="36" x14ac:dyDescent="0.2">
      <c r="A278" s="37">
        <v>761</v>
      </c>
      <c r="B278" s="36" t="s">
        <v>1515</v>
      </c>
      <c r="C278" s="50" t="str">
        <f>HYPERLINK("#Particularidade!"&amp;ADDRESS(MATCH(B278,Particularidade!B:B,0),2),"Ir para particularidadedes")</f>
        <v>Ir para particularidadedes</v>
      </c>
      <c r="D278" s="51" t="s">
        <v>1514</v>
      </c>
      <c r="E278" s="51" t="s">
        <v>1513</v>
      </c>
      <c r="F278" s="52" t="s">
        <v>613</v>
      </c>
      <c r="G278" s="137" t="s">
        <v>46</v>
      </c>
      <c r="H278" s="37" t="s">
        <v>41</v>
      </c>
      <c r="I278" s="36">
        <v>6</v>
      </c>
      <c r="J278" s="37">
        <v>28</v>
      </c>
      <c r="K278" s="37"/>
      <c r="L278" s="37" t="s">
        <v>63</v>
      </c>
      <c r="M278" s="56" t="s">
        <v>175</v>
      </c>
      <c r="N278" s="148" t="s">
        <v>1683</v>
      </c>
    </row>
    <row r="279" spans="1:14" ht="36" x14ac:dyDescent="0.2">
      <c r="A279" s="43">
        <v>762</v>
      </c>
      <c r="B279" s="36" t="s">
        <v>1516</v>
      </c>
      <c r="C279" s="50" t="str">
        <f>HYPERLINK("#Particularidade!"&amp;ADDRESS(MATCH(B279,Particularidade!B:B,0),2),"Ir para particularidadedes")</f>
        <v>Ir para particularidadedes</v>
      </c>
      <c r="D279" s="51" t="s">
        <v>1517</v>
      </c>
      <c r="E279" s="51"/>
      <c r="F279" s="52" t="s">
        <v>613</v>
      </c>
      <c r="G279" s="129" t="s">
        <v>1836</v>
      </c>
      <c r="H279" s="43" t="s">
        <v>39</v>
      </c>
      <c r="I279" s="57" t="s">
        <v>57</v>
      </c>
      <c r="J279" s="57">
        <v>21</v>
      </c>
      <c r="K279" s="57"/>
      <c r="L279" s="44" t="s">
        <v>63</v>
      </c>
      <c r="M279" s="56" t="s">
        <v>168</v>
      </c>
    </row>
    <row r="280" spans="1:14" ht="36" x14ac:dyDescent="0.2">
      <c r="A280" s="37">
        <v>763</v>
      </c>
      <c r="B280" s="36" t="s">
        <v>1520</v>
      </c>
      <c r="C280" s="50" t="str">
        <f>HYPERLINK("#Particularidade!"&amp;ADDRESS(MATCH(B280,Particularidade!B:B,0),2),"Ir para particularidadedes")</f>
        <v>Ir para particularidadedes</v>
      </c>
      <c r="D280" s="194" t="s">
        <v>1519</v>
      </c>
      <c r="E280" s="195" t="s">
        <v>1518</v>
      </c>
      <c r="F280" s="52" t="s">
        <v>613</v>
      </c>
      <c r="G280" s="141" t="s">
        <v>47</v>
      </c>
      <c r="H280" s="37" t="s">
        <v>41</v>
      </c>
      <c r="I280" s="36">
        <v>4</v>
      </c>
      <c r="J280" s="57">
        <v>30</v>
      </c>
      <c r="K280" s="57"/>
      <c r="L280" s="37" t="s">
        <v>63</v>
      </c>
      <c r="M280" s="56" t="s">
        <v>176</v>
      </c>
      <c r="N280" s="131" t="s">
        <v>1683</v>
      </c>
    </row>
    <row r="281" spans="1:14" ht="48" x14ac:dyDescent="0.2">
      <c r="A281" s="43">
        <v>764</v>
      </c>
      <c r="B281" s="36" t="s">
        <v>1522</v>
      </c>
      <c r="C281" s="50" t="str">
        <f>HYPERLINK("#Particularidade!"&amp;ADDRESS(MATCH(B281,Particularidade!B:B,0),2),"Ir para particularidadedes")</f>
        <v>Ir para particularidadedes</v>
      </c>
      <c r="D281" s="51" t="s">
        <v>1521</v>
      </c>
      <c r="E281" s="51"/>
      <c r="F281" s="52" t="s">
        <v>40</v>
      </c>
      <c r="G281" s="129" t="s">
        <v>46</v>
      </c>
      <c r="H281" s="43" t="s">
        <v>50</v>
      </c>
      <c r="I281" s="44">
        <v>1</v>
      </c>
      <c r="J281" s="43">
        <v>28</v>
      </c>
      <c r="K281" s="43"/>
      <c r="L281" s="43" t="s">
        <v>63</v>
      </c>
      <c r="M281" s="56" t="s">
        <v>177</v>
      </c>
    </row>
    <row r="282" spans="1:14" ht="90" customHeight="1" x14ac:dyDescent="0.2">
      <c r="A282" s="43">
        <v>765</v>
      </c>
      <c r="B282" s="36" t="s">
        <v>26</v>
      </c>
      <c r="C282" s="50" t="str">
        <f>HYPERLINK("#Particularidade!"&amp;ADDRESS(MATCH(B282,Particularidade!B:B,0),2),"Ir para particularidadedes")</f>
        <v>Ir para particularidadedes</v>
      </c>
      <c r="D282" s="51" t="s">
        <v>1523</v>
      </c>
      <c r="E282" s="51"/>
      <c r="F282" s="52" t="s">
        <v>1196</v>
      </c>
      <c r="G282" s="129" t="s">
        <v>1836</v>
      </c>
      <c r="H282" s="43" t="s">
        <v>53</v>
      </c>
      <c r="I282" s="44">
        <v>1</v>
      </c>
      <c r="J282" s="43">
        <v>28</v>
      </c>
      <c r="K282" s="43"/>
      <c r="L282" s="43" t="s">
        <v>63</v>
      </c>
      <c r="M282" s="56" t="s">
        <v>1838</v>
      </c>
    </row>
    <row r="283" spans="1:14" ht="36" x14ac:dyDescent="0.2">
      <c r="A283" s="43">
        <v>766</v>
      </c>
      <c r="B283" s="36" t="s">
        <v>1524</v>
      </c>
      <c r="C283" s="50" t="str">
        <f>HYPERLINK("#Particularidade!"&amp;ADDRESS(MATCH(B283,Particularidade!B:B,0),2),"Ir para particularidadedes")</f>
        <v>Ir para particularidadedes</v>
      </c>
      <c r="D283" s="51" t="s">
        <v>1525</v>
      </c>
      <c r="E283" s="51"/>
      <c r="F283" s="52" t="s">
        <v>613</v>
      </c>
      <c r="G283" s="143" t="s">
        <v>46</v>
      </c>
      <c r="H283" s="43" t="s">
        <v>50</v>
      </c>
      <c r="I283" s="43">
        <v>3</v>
      </c>
      <c r="J283" s="43">
        <v>30</v>
      </c>
      <c r="K283" s="43"/>
      <c r="L283" s="43" t="s">
        <v>63</v>
      </c>
      <c r="M283" s="56" t="s">
        <v>1757</v>
      </c>
    </row>
    <row r="284" spans="1:14" ht="48" x14ac:dyDescent="0.2">
      <c r="A284" s="36">
        <v>767</v>
      </c>
      <c r="B284" s="36" t="s">
        <v>1527</v>
      </c>
      <c r="C284" s="50" t="str">
        <f>HYPERLINK("#Particularidade!"&amp;ADDRESS(MATCH(B284,Particularidade!B:B,0),2),"Ir para particularidadedes")</f>
        <v>Ir para particularidadedes</v>
      </c>
      <c r="D284" s="194" t="s">
        <v>1526</v>
      </c>
      <c r="E284" s="195" t="s">
        <v>1363</v>
      </c>
      <c r="F284" s="52" t="s">
        <v>614</v>
      </c>
      <c r="G284" s="141" t="s">
        <v>47</v>
      </c>
      <c r="H284" s="54" t="s">
        <v>41</v>
      </c>
      <c r="I284" s="54">
        <v>24</v>
      </c>
      <c r="J284" s="54">
        <v>5</v>
      </c>
      <c r="K284" s="54"/>
      <c r="L284" s="63" t="s">
        <v>63</v>
      </c>
      <c r="M284" s="56" t="s">
        <v>1829</v>
      </c>
      <c r="N284" s="131" t="s">
        <v>1687</v>
      </c>
    </row>
    <row r="285" spans="1:14" ht="36" x14ac:dyDescent="0.2">
      <c r="A285" s="37">
        <v>768</v>
      </c>
      <c r="B285" s="36" t="s">
        <v>1528</v>
      </c>
      <c r="C285" s="50" t="str">
        <f>HYPERLINK("#Particularidade!"&amp;ADDRESS(MATCH(B285,Particularidade!B:B,0),2),"Ir para particularidadedes")</f>
        <v>Ir para particularidadedes</v>
      </c>
      <c r="D285" s="51" t="s">
        <v>1529</v>
      </c>
      <c r="E285" s="51"/>
      <c r="F285" s="52" t="s">
        <v>613</v>
      </c>
      <c r="G285" s="129" t="s">
        <v>1836</v>
      </c>
      <c r="H285" s="37" t="s">
        <v>50</v>
      </c>
      <c r="I285" s="57" t="s">
        <v>57</v>
      </c>
      <c r="J285" s="57">
        <v>21</v>
      </c>
      <c r="K285" s="57"/>
      <c r="L285" s="57" t="s">
        <v>63</v>
      </c>
      <c r="M285" s="56" t="s">
        <v>778</v>
      </c>
    </row>
    <row r="286" spans="1:14" ht="36" x14ac:dyDescent="0.2">
      <c r="A286" s="37">
        <v>769</v>
      </c>
      <c r="B286" s="36" t="s">
        <v>1532</v>
      </c>
      <c r="C286" s="50" t="str">
        <f>HYPERLINK("#Particularidade!"&amp;ADDRESS(MATCH(B286,Particularidade!B:B,0),2),"Ir para particularidadedes")</f>
        <v>Ir para particularidadedes</v>
      </c>
      <c r="D286" s="51" t="s">
        <v>1531</v>
      </c>
      <c r="E286" s="51" t="s">
        <v>1530</v>
      </c>
      <c r="F286" s="51" t="s">
        <v>613</v>
      </c>
      <c r="G286" s="126" t="s">
        <v>46</v>
      </c>
      <c r="H286" s="37" t="s">
        <v>41</v>
      </c>
      <c r="I286" s="54">
        <v>4</v>
      </c>
      <c r="J286" s="57">
        <v>30</v>
      </c>
      <c r="K286" s="57"/>
      <c r="L286" s="57" t="s">
        <v>63</v>
      </c>
      <c r="M286" s="56" t="s">
        <v>65</v>
      </c>
      <c r="N286" s="131"/>
    </row>
    <row r="287" spans="1:14" ht="36" x14ac:dyDescent="0.2">
      <c r="A287" s="37">
        <v>770</v>
      </c>
      <c r="B287" s="36" t="s">
        <v>27</v>
      </c>
      <c r="C287" s="50" t="str">
        <f>HYPERLINK("#Particularidade!"&amp;ADDRESS(MATCH(B287,Particularidade!B:B,0),2),"Ir para particularidadedes")</f>
        <v>Ir para particularidadedes</v>
      </c>
      <c r="D287" s="51" t="s">
        <v>1533</v>
      </c>
      <c r="E287" s="51"/>
      <c r="F287" s="52" t="s">
        <v>613</v>
      </c>
      <c r="G287" s="129" t="s">
        <v>1836</v>
      </c>
      <c r="H287" s="37" t="s">
        <v>39</v>
      </c>
      <c r="I287" s="57" t="s">
        <v>57</v>
      </c>
      <c r="J287" s="57">
        <v>21</v>
      </c>
      <c r="K287" s="57"/>
      <c r="L287" s="57" t="s">
        <v>63</v>
      </c>
      <c r="M287" s="56" t="s">
        <v>168</v>
      </c>
    </row>
    <row r="288" spans="1:14" ht="36" x14ac:dyDescent="0.2">
      <c r="A288" s="36">
        <v>771</v>
      </c>
      <c r="B288" s="36" t="s">
        <v>1535</v>
      </c>
      <c r="C288" s="50" t="str">
        <f>HYPERLINK("#Particularidade!"&amp;ADDRESS(MATCH(B288,Particularidade!B:B,0),2),"Ir para particularidadedes")</f>
        <v>Ir para particularidadedes</v>
      </c>
      <c r="D288" s="51" t="s">
        <v>1534</v>
      </c>
      <c r="E288" s="51"/>
      <c r="F288" s="52" t="s">
        <v>1196</v>
      </c>
      <c r="G288" s="129" t="s">
        <v>46</v>
      </c>
      <c r="H288" s="57" t="s">
        <v>50</v>
      </c>
      <c r="I288" s="57">
        <v>0</v>
      </c>
      <c r="J288" s="57">
        <v>28</v>
      </c>
      <c r="K288" s="57"/>
      <c r="L288" s="57" t="s">
        <v>63</v>
      </c>
      <c r="M288" s="56" t="s">
        <v>178</v>
      </c>
    </row>
    <row r="289" spans="1:14" ht="24" x14ac:dyDescent="0.2">
      <c r="A289" s="36">
        <v>803</v>
      </c>
      <c r="B289" s="36" t="s">
        <v>546</v>
      </c>
      <c r="C289" s="50" t="str">
        <f>HYPERLINK("#Particularidade!"&amp;ADDRESS(MATCH(B289,Particularidade!B:B,0),2),"Ir para particularidadedes")</f>
        <v>Ir para particularidadedes</v>
      </c>
      <c r="D289" s="51" t="s">
        <v>1639</v>
      </c>
      <c r="E289" s="51" t="s">
        <v>1295</v>
      </c>
      <c r="F289" s="52" t="s">
        <v>613</v>
      </c>
      <c r="G289" s="53" t="s">
        <v>45</v>
      </c>
      <c r="H289" s="57" t="s">
        <v>41</v>
      </c>
      <c r="I289" s="76">
        <v>3</v>
      </c>
      <c r="J289" s="78">
        <v>3</v>
      </c>
      <c r="K289" s="76" t="s">
        <v>1689</v>
      </c>
      <c r="L289" s="63" t="s">
        <v>63</v>
      </c>
      <c r="M289" s="56" t="s">
        <v>187</v>
      </c>
      <c r="N289" s="131" t="s">
        <v>1684</v>
      </c>
    </row>
    <row r="290" spans="1:14" ht="36" x14ac:dyDescent="0.2">
      <c r="A290" s="37">
        <v>773</v>
      </c>
      <c r="B290" s="37" t="s">
        <v>28</v>
      </c>
      <c r="C290" s="50" t="str">
        <f>HYPERLINK("#Particularidade!"&amp;ADDRESS(MATCH(B290,Particularidade!B:B,0),2),"Ir para particularidadedes")</f>
        <v>Ir para particularidadedes</v>
      </c>
      <c r="D290" s="51" t="s">
        <v>1539</v>
      </c>
      <c r="E290" s="51"/>
      <c r="F290" s="52" t="s">
        <v>1196</v>
      </c>
      <c r="G290" s="129" t="s">
        <v>1836</v>
      </c>
      <c r="H290" s="37" t="s">
        <v>53</v>
      </c>
      <c r="I290" s="54">
        <v>1</v>
      </c>
      <c r="J290" s="57">
        <v>28</v>
      </c>
      <c r="K290" s="57"/>
      <c r="L290" s="57" t="s">
        <v>63</v>
      </c>
      <c r="M290" s="56" t="s">
        <v>766</v>
      </c>
    </row>
    <row r="291" spans="1:14" ht="60" x14ac:dyDescent="0.2">
      <c r="A291" s="38">
        <v>774</v>
      </c>
      <c r="B291" s="38" t="s">
        <v>1542</v>
      </c>
      <c r="C291" s="50" t="str">
        <f>HYPERLINK("#Particularidade!"&amp;ADDRESS(MATCH(B291,Particularidade!B:B,0),2),"Ir para particularidadedes")</f>
        <v>Ir para particularidadedes</v>
      </c>
      <c r="D291" s="51" t="s">
        <v>1543</v>
      </c>
      <c r="E291" s="51"/>
      <c r="F291" s="52" t="s">
        <v>613</v>
      </c>
      <c r="G291" s="129" t="s">
        <v>1836</v>
      </c>
      <c r="H291" s="57" t="s">
        <v>793</v>
      </c>
      <c r="I291" s="67"/>
      <c r="J291" s="67">
        <v>21</v>
      </c>
      <c r="K291" s="67"/>
      <c r="L291" s="67" t="s">
        <v>63</v>
      </c>
      <c r="M291" s="66" t="s">
        <v>794</v>
      </c>
    </row>
    <row r="292" spans="1:14" ht="36" x14ac:dyDescent="0.2">
      <c r="A292" s="37">
        <v>776</v>
      </c>
      <c r="B292" s="36" t="s">
        <v>1544</v>
      </c>
      <c r="C292" s="50" t="str">
        <f>HYPERLINK("#Particularidade!"&amp;ADDRESS(MATCH(B292,Particularidade!B:B,0),2),"Ir para particularidadedes")</f>
        <v>Ir para particularidadedes</v>
      </c>
      <c r="D292" s="51" t="s">
        <v>1545</v>
      </c>
      <c r="E292" s="51"/>
      <c r="F292" s="52" t="s">
        <v>613</v>
      </c>
      <c r="G292" s="129" t="s">
        <v>1836</v>
      </c>
      <c r="H292" s="37" t="s">
        <v>39</v>
      </c>
      <c r="I292" s="57" t="s">
        <v>57</v>
      </c>
      <c r="J292" s="57">
        <v>21</v>
      </c>
      <c r="K292" s="57"/>
      <c r="L292" s="57" t="s">
        <v>63</v>
      </c>
      <c r="M292" s="49" t="s">
        <v>171</v>
      </c>
    </row>
    <row r="293" spans="1:14" ht="24" x14ac:dyDescent="0.2">
      <c r="A293" s="37">
        <v>777</v>
      </c>
      <c r="B293" s="36" t="s">
        <v>1547</v>
      </c>
      <c r="C293" s="50" t="str">
        <f>HYPERLINK("#Particularidade!"&amp;ADDRESS(MATCH(B293,Particularidade!B:B,0),2),"Ir para particularidadedes")</f>
        <v>Ir para particularidadedes</v>
      </c>
      <c r="D293" s="51" t="s">
        <v>1546</v>
      </c>
      <c r="E293" s="51"/>
      <c r="F293" s="52" t="s">
        <v>1196</v>
      </c>
      <c r="G293" s="129" t="s">
        <v>1836</v>
      </c>
      <c r="H293" s="37" t="s">
        <v>53</v>
      </c>
      <c r="I293" s="57">
        <v>0</v>
      </c>
      <c r="J293" s="57">
        <v>28</v>
      </c>
      <c r="K293" s="57"/>
      <c r="L293" s="57" t="s">
        <v>63</v>
      </c>
      <c r="M293" s="56" t="s">
        <v>179</v>
      </c>
      <c r="N293" s="119" t="s">
        <v>1786</v>
      </c>
    </row>
    <row r="294" spans="1:14" ht="36" x14ac:dyDescent="0.2">
      <c r="A294" s="36">
        <v>779</v>
      </c>
      <c r="B294" s="36" t="s">
        <v>1548</v>
      </c>
      <c r="C294" s="50" t="str">
        <f>HYPERLINK("#Particularidade!"&amp;ADDRESS(MATCH(B294,Particularidade!B:B,0),2),"Ir para particularidadedes")</f>
        <v>Ir para particularidadedes</v>
      </c>
      <c r="D294" s="51" t="s">
        <v>1549</v>
      </c>
      <c r="E294" s="51"/>
      <c r="F294" s="52" t="s">
        <v>613</v>
      </c>
      <c r="G294" s="53" t="s">
        <v>45</v>
      </c>
      <c r="H294" s="36" t="s">
        <v>50</v>
      </c>
      <c r="I294" s="54"/>
      <c r="J294" s="57">
        <v>21</v>
      </c>
      <c r="K294" s="57"/>
      <c r="L294" s="54" t="s">
        <v>63</v>
      </c>
      <c r="M294" s="49" t="s">
        <v>171</v>
      </c>
    </row>
    <row r="295" spans="1:14" ht="36" x14ac:dyDescent="0.2">
      <c r="A295" s="36">
        <v>780</v>
      </c>
      <c r="B295" s="36" t="s">
        <v>1680</v>
      </c>
      <c r="C295" s="50" t="str">
        <f>HYPERLINK("#Particularidade!"&amp;ADDRESS(MATCH(B295,Particularidade!B:B,0),2),"Ir para particularidadedes")</f>
        <v>Ir para particularidadedes</v>
      </c>
      <c r="D295" s="51" t="s">
        <v>1678</v>
      </c>
      <c r="E295" s="48"/>
      <c r="F295" s="52" t="s">
        <v>1196</v>
      </c>
      <c r="G295" s="129" t="s">
        <v>46</v>
      </c>
      <c r="H295" s="57" t="s">
        <v>50</v>
      </c>
      <c r="I295" s="54">
        <v>1</v>
      </c>
      <c r="J295" s="57">
        <v>28</v>
      </c>
      <c r="K295" s="57"/>
      <c r="L295" s="57" t="s">
        <v>63</v>
      </c>
      <c r="M295" s="56" t="s">
        <v>1758</v>
      </c>
    </row>
    <row r="296" spans="1:14" ht="48" x14ac:dyDescent="0.2">
      <c r="A296" s="36">
        <v>781</v>
      </c>
      <c r="B296" s="36" t="s">
        <v>499</v>
      </c>
      <c r="C296" s="50" t="str">
        <f>HYPERLINK("#Particularidade!"&amp;ADDRESS(MATCH(B296,Particularidade!B:B,0),2),"Ir para particularidadedes")</f>
        <v>Ir para particularidadedes</v>
      </c>
      <c r="D296" s="51" t="s">
        <v>1677</v>
      </c>
      <c r="E296" s="51"/>
      <c r="F296" s="52" t="s">
        <v>1196</v>
      </c>
      <c r="G296" s="129" t="s">
        <v>1836</v>
      </c>
      <c r="H296" s="37" t="s">
        <v>53</v>
      </c>
      <c r="I296" s="54">
        <v>1</v>
      </c>
      <c r="J296" s="54">
        <v>25</v>
      </c>
      <c r="K296" s="54"/>
      <c r="L296" s="57" t="s">
        <v>63</v>
      </c>
      <c r="M296" s="56" t="s">
        <v>1788</v>
      </c>
    </row>
    <row r="297" spans="1:14" ht="24" x14ac:dyDescent="0.2">
      <c r="A297" s="44">
        <v>782</v>
      </c>
      <c r="B297" s="36" t="s">
        <v>1676</v>
      </c>
      <c r="C297" s="50" t="str">
        <f>HYPERLINK("#Particularidade!"&amp;ADDRESS(MATCH(B297,Particularidade!B:B,0),2),"Ir para particularidadedes")</f>
        <v>Ir para particularidadedes</v>
      </c>
      <c r="D297" s="51" t="s">
        <v>1675</v>
      </c>
      <c r="E297" s="51"/>
      <c r="F297" s="52" t="s">
        <v>1196</v>
      </c>
      <c r="G297" s="129" t="s">
        <v>1836</v>
      </c>
      <c r="H297" s="57" t="s">
        <v>53</v>
      </c>
      <c r="I297" s="54">
        <v>1</v>
      </c>
      <c r="J297" s="54">
        <v>25</v>
      </c>
      <c r="K297" s="54"/>
      <c r="L297" s="57" t="s">
        <v>63</v>
      </c>
      <c r="M297" s="60" t="s">
        <v>1759</v>
      </c>
    </row>
    <row r="298" spans="1:14" ht="36" x14ac:dyDescent="0.2">
      <c r="A298" s="36">
        <v>785</v>
      </c>
      <c r="B298" s="36" t="s">
        <v>1674</v>
      </c>
      <c r="C298" s="50" t="str">
        <f>HYPERLINK("#Particularidade!"&amp;ADDRESS(MATCH(B298,Particularidade!B:B,0),2),"Ir para particularidadedes")</f>
        <v>Ir para particularidadedes</v>
      </c>
      <c r="D298" s="51" t="s">
        <v>1673</v>
      </c>
      <c r="E298" s="51" t="s">
        <v>1672</v>
      </c>
      <c r="F298" s="52" t="s">
        <v>613</v>
      </c>
      <c r="G298" s="137" t="s">
        <v>46</v>
      </c>
      <c r="H298" s="57" t="s">
        <v>41</v>
      </c>
      <c r="I298" s="155">
        <v>4</v>
      </c>
      <c r="J298" s="78">
        <v>30</v>
      </c>
      <c r="K298" s="78"/>
      <c r="L298" s="78" t="s">
        <v>63</v>
      </c>
      <c r="M298" s="56" t="s">
        <v>180</v>
      </c>
      <c r="N298" s="131" t="s">
        <v>1683</v>
      </c>
    </row>
    <row r="299" spans="1:14" ht="36" x14ac:dyDescent="0.2">
      <c r="A299" s="36">
        <v>786</v>
      </c>
      <c r="B299" s="36" t="s">
        <v>1670</v>
      </c>
      <c r="C299" s="50" t="str">
        <f>HYPERLINK("#Particularidade!"&amp;ADDRESS(MATCH(B299,Particularidade!B:B,0),2),"Ir para particularidadedes")</f>
        <v>Ir para particularidadedes</v>
      </c>
      <c r="D299" s="51" t="s">
        <v>1671</v>
      </c>
      <c r="E299" s="51"/>
      <c r="F299" s="52" t="s">
        <v>613</v>
      </c>
      <c r="G299" s="129" t="s">
        <v>1836</v>
      </c>
      <c r="H299" s="54" t="s">
        <v>39</v>
      </c>
      <c r="I299" s="57" t="s">
        <v>57</v>
      </c>
      <c r="J299" s="57">
        <v>21</v>
      </c>
      <c r="K299" s="57"/>
      <c r="L299" s="54" t="s">
        <v>63</v>
      </c>
      <c r="M299" s="49" t="s">
        <v>1846</v>
      </c>
    </row>
    <row r="300" spans="1:14" ht="60" x14ac:dyDescent="0.2">
      <c r="A300" s="38">
        <v>787</v>
      </c>
      <c r="B300" s="38" t="s">
        <v>1669</v>
      </c>
      <c r="C300" s="50" t="str">
        <f>HYPERLINK("#Particularidade!"&amp;ADDRESS(MATCH(B300,Particularidade!B:B,0),2),"Ir para particularidadedes")</f>
        <v>Ir para particularidadedes</v>
      </c>
      <c r="D300" s="51" t="s">
        <v>1668</v>
      </c>
      <c r="E300" s="51"/>
      <c r="F300" s="52" t="s">
        <v>613</v>
      </c>
      <c r="G300" s="129" t="s">
        <v>1836</v>
      </c>
      <c r="H300" s="57" t="s">
        <v>792</v>
      </c>
      <c r="I300" s="45"/>
      <c r="J300" s="67">
        <v>21</v>
      </c>
      <c r="K300" s="67"/>
      <c r="L300" s="67" t="s">
        <v>63</v>
      </c>
      <c r="M300" s="66" t="s">
        <v>1760</v>
      </c>
    </row>
    <row r="301" spans="1:14" ht="36" x14ac:dyDescent="0.2">
      <c r="A301" s="44">
        <v>788</v>
      </c>
      <c r="B301" s="36" t="s">
        <v>1667</v>
      </c>
      <c r="C301" s="50" t="str">
        <f>HYPERLINK("#Particularidade!"&amp;ADDRESS(MATCH(B301,Particularidade!B:B,0),2),"Ir para particularidadedes")</f>
        <v>Ir para particularidadedes</v>
      </c>
      <c r="D301" s="51" t="s">
        <v>1666</v>
      </c>
      <c r="E301" s="51"/>
      <c r="F301" s="52" t="s">
        <v>1196</v>
      </c>
      <c r="G301" s="129" t="s">
        <v>1836</v>
      </c>
      <c r="H301" s="57" t="s">
        <v>53</v>
      </c>
      <c r="I301" s="54">
        <v>1</v>
      </c>
      <c r="J301" s="54">
        <v>30</v>
      </c>
      <c r="K301" s="54"/>
      <c r="L301" s="156" t="s">
        <v>78</v>
      </c>
      <c r="M301" s="60" t="s">
        <v>181</v>
      </c>
    </row>
    <row r="302" spans="1:14" ht="36" x14ac:dyDescent="0.2">
      <c r="A302" s="36">
        <v>789</v>
      </c>
      <c r="B302" s="36" t="s">
        <v>1664</v>
      </c>
      <c r="C302" s="50" t="str">
        <f>HYPERLINK("#Particularidade!"&amp;ADDRESS(MATCH(B302,Particularidade!B:B,0),2),"Ir para particularidadedes")</f>
        <v>Ir para particularidadedes</v>
      </c>
      <c r="D302" s="51" t="s">
        <v>1665</v>
      </c>
      <c r="E302" s="51"/>
      <c r="F302" s="52" t="s">
        <v>613</v>
      </c>
      <c r="G302" s="53" t="s">
        <v>45</v>
      </c>
      <c r="H302" s="57" t="s">
        <v>50</v>
      </c>
      <c r="I302" s="69" t="s">
        <v>57</v>
      </c>
      <c r="J302" s="57">
        <v>21</v>
      </c>
      <c r="K302" s="57"/>
      <c r="L302" s="54" t="s">
        <v>63</v>
      </c>
      <c r="M302" s="56" t="s">
        <v>182</v>
      </c>
    </row>
    <row r="303" spans="1:14" x14ac:dyDescent="0.2">
      <c r="A303" s="44">
        <v>790</v>
      </c>
      <c r="B303" s="36" t="s">
        <v>1663</v>
      </c>
      <c r="C303" s="50" t="str">
        <f>HYPERLINK("#Particularidade!"&amp;ADDRESS(MATCH(B303,Particularidade!B:B,0),2),"Ir para particularidadedes")</f>
        <v>Ir para particularidadedes</v>
      </c>
      <c r="D303" s="51" t="s">
        <v>1662</v>
      </c>
      <c r="E303" s="51"/>
      <c r="F303" s="52" t="s">
        <v>613</v>
      </c>
      <c r="G303" s="53" t="s">
        <v>45</v>
      </c>
      <c r="H303" s="57" t="s">
        <v>54</v>
      </c>
      <c r="I303" s="73"/>
      <c r="J303" s="57">
        <v>21</v>
      </c>
      <c r="K303" s="57"/>
      <c r="L303" s="54" t="s">
        <v>63</v>
      </c>
      <c r="M303" s="56" t="s">
        <v>183</v>
      </c>
    </row>
    <row r="304" spans="1:14" ht="36" x14ac:dyDescent="0.2">
      <c r="A304" s="68">
        <v>791</v>
      </c>
      <c r="B304" s="36" t="s">
        <v>1661</v>
      </c>
      <c r="C304" s="50" t="str">
        <f>HYPERLINK("#Particularidade!"&amp;ADDRESS(MATCH(B304,Particularidade!B:B,0),2),"Ir para particularidadedes")</f>
        <v>Ir para particularidadedes</v>
      </c>
      <c r="D304" s="51" t="s">
        <v>1660</v>
      </c>
      <c r="E304" s="51" t="s">
        <v>1659</v>
      </c>
      <c r="F304" s="52"/>
      <c r="G304" s="137" t="s">
        <v>46</v>
      </c>
      <c r="H304" s="57" t="s">
        <v>41</v>
      </c>
      <c r="I304" s="76">
        <v>5</v>
      </c>
      <c r="J304" s="78"/>
      <c r="K304" s="78"/>
      <c r="L304" s="157" t="s">
        <v>63</v>
      </c>
      <c r="M304" s="56" t="s">
        <v>153</v>
      </c>
      <c r="N304" s="131"/>
    </row>
    <row r="305" spans="1:14" ht="36" x14ac:dyDescent="0.2">
      <c r="A305" s="42">
        <v>792</v>
      </c>
      <c r="B305" s="38" t="s">
        <v>1657</v>
      </c>
      <c r="C305" s="50" t="str">
        <f>HYPERLINK("#Particularidade!"&amp;ADDRESS(MATCH(B305,Particularidade!B:B,0),2),"Ir para particularidadedes")</f>
        <v>Ir para particularidadedes</v>
      </c>
      <c r="D305" s="51" t="s">
        <v>1658</v>
      </c>
      <c r="E305" s="51"/>
      <c r="F305" s="52"/>
      <c r="G305" s="129" t="s">
        <v>1836</v>
      </c>
      <c r="H305" s="67" t="s">
        <v>52</v>
      </c>
      <c r="I305" s="45"/>
      <c r="J305" s="67">
        <v>21</v>
      </c>
      <c r="K305" s="67"/>
      <c r="L305" s="67" t="s">
        <v>63</v>
      </c>
      <c r="M305" s="66" t="s">
        <v>637</v>
      </c>
    </row>
    <row r="306" spans="1:14" ht="36" x14ac:dyDescent="0.2">
      <c r="A306" s="45">
        <v>793</v>
      </c>
      <c r="B306" s="112" t="s">
        <v>1656</v>
      </c>
      <c r="C306" s="50" t="str">
        <f>HYPERLINK("#Particularidade!"&amp;ADDRESS(MATCH(B306,Particularidade!B:B,0),2),"Ir para particularidadedes")</f>
        <v>Ir para particularidadedes</v>
      </c>
      <c r="D306" s="51" t="s">
        <v>1655</v>
      </c>
      <c r="E306" s="51"/>
      <c r="F306" s="52" t="s">
        <v>822</v>
      </c>
      <c r="G306" s="129" t="s">
        <v>1836</v>
      </c>
      <c r="H306" s="75" t="s">
        <v>52</v>
      </c>
      <c r="I306" s="45"/>
      <c r="J306" s="75">
        <v>21</v>
      </c>
      <c r="K306" s="75"/>
      <c r="L306" s="75" t="s">
        <v>63</v>
      </c>
      <c r="M306" s="74" t="s">
        <v>638</v>
      </c>
    </row>
    <row r="307" spans="1:14" ht="36" x14ac:dyDescent="0.2">
      <c r="A307" s="36">
        <v>814</v>
      </c>
      <c r="B307" s="36" t="s">
        <v>1623</v>
      </c>
      <c r="C307" s="50" t="str">
        <f>HYPERLINK("#Particularidade!"&amp;ADDRESS(MATCH(B307,Particularidade!B:B,0),2),"Ir para particularidadedes")</f>
        <v>Ir para particularidadedes</v>
      </c>
      <c r="D307" s="51" t="s">
        <v>1622</v>
      </c>
      <c r="E307" s="51" t="s">
        <v>1621</v>
      </c>
      <c r="F307" s="52" t="s">
        <v>617</v>
      </c>
      <c r="G307" s="53" t="s">
        <v>45</v>
      </c>
      <c r="H307" s="57" t="s">
        <v>41</v>
      </c>
      <c r="I307" s="76">
        <v>1</v>
      </c>
      <c r="J307" s="54">
        <v>28</v>
      </c>
      <c r="K307" s="54" t="s">
        <v>1684</v>
      </c>
      <c r="L307" s="63" t="s">
        <v>63</v>
      </c>
      <c r="M307" s="60" t="s">
        <v>193</v>
      </c>
      <c r="N307" s="131" t="s">
        <v>1683</v>
      </c>
    </row>
    <row r="308" spans="1:14" ht="36" x14ac:dyDescent="0.2">
      <c r="A308" s="44">
        <v>796</v>
      </c>
      <c r="B308" s="36" t="s">
        <v>1652</v>
      </c>
      <c r="C308" s="50" t="str">
        <f>HYPERLINK("#Particularidade!"&amp;ADDRESS(MATCH(B308,Particularidade!B:B,0),2),"Ir para particularidadedes")</f>
        <v>Ir para particularidadedes</v>
      </c>
      <c r="D308" s="51" t="s">
        <v>1653</v>
      </c>
      <c r="F308" s="52" t="s">
        <v>613</v>
      </c>
      <c r="G308" s="129" t="s">
        <v>1836</v>
      </c>
      <c r="H308" s="57" t="s">
        <v>39</v>
      </c>
      <c r="I308" s="69" t="s">
        <v>57</v>
      </c>
      <c r="J308" s="57">
        <v>21</v>
      </c>
      <c r="K308" s="57"/>
      <c r="L308" s="73" t="s">
        <v>63</v>
      </c>
      <c r="M308" s="49" t="s">
        <v>1761</v>
      </c>
    </row>
    <row r="309" spans="1:14" ht="36" x14ac:dyDescent="0.2">
      <c r="A309" s="44">
        <v>797</v>
      </c>
      <c r="B309" s="36" t="s">
        <v>1651</v>
      </c>
      <c r="C309" s="50" t="str">
        <f>HYPERLINK("#Particularidade!"&amp;ADDRESS(MATCH(B309,Particularidade!B:B,0),2),"Ir para particularidadedes")</f>
        <v>Ir para particularidadedes</v>
      </c>
      <c r="D309" s="51" t="s">
        <v>1650</v>
      </c>
      <c r="E309" s="51"/>
      <c r="F309" s="52" t="s">
        <v>1196</v>
      </c>
      <c r="G309" s="129" t="s">
        <v>46</v>
      </c>
      <c r="H309" s="57" t="s">
        <v>50</v>
      </c>
      <c r="I309" s="73">
        <v>0</v>
      </c>
      <c r="J309" s="54">
        <v>30</v>
      </c>
      <c r="K309" s="54"/>
      <c r="L309" s="73" t="s">
        <v>63</v>
      </c>
      <c r="M309" s="60" t="s">
        <v>185</v>
      </c>
    </row>
    <row r="310" spans="1:14" ht="24" x14ac:dyDescent="0.2">
      <c r="A310" s="44">
        <v>798</v>
      </c>
      <c r="B310" s="36" t="s">
        <v>1649</v>
      </c>
      <c r="C310" s="50" t="str">
        <f>HYPERLINK("#Particularidade!"&amp;ADDRESS(MATCH(B310,Particularidade!B:B,0),2),"Ir para particularidadedes")</f>
        <v>Ir para particularidadedes</v>
      </c>
      <c r="D310" s="51" t="s">
        <v>1648</v>
      </c>
      <c r="E310" s="51"/>
      <c r="F310" s="52" t="s">
        <v>1196</v>
      </c>
      <c r="G310" s="129" t="s">
        <v>1836</v>
      </c>
      <c r="H310" s="57" t="s">
        <v>53</v>
      </c>
      <c r="I310" s="80">
        <v>1</v>
      </c>
      <c r="J310" s="54">
        <v>30</v>
      </c>
      <c r="K310" s="54"/>
      <c r="L310" s="73" t="s">
        <v>63</v>
      </c>
      <c r="M310" s="60" t="s">
        <v>124</v>
      </c>
    </row>
    <row r="311" spans="1:14" ht="48" x14ac:dyDescent="0.2">
      <c r="A311" s="37">
        <v>758</v>
      </c>
      <c r="B311" s="36" t="s">
        <v>531</v>
      </c>
      <c r="C311" s="50" t="str">
        <f>HYPERLINK("#Particularidade!"&amp;ADDRESS(MATCH(B311,Particularidade!B:B,0),2),"Ir para particularidadedes")</f>
        <v>Ir para particularidadedes</v>
      </c>
      <c r="D311" s="51" t="s">
        <v>1507</v>
      </c>
      <c r="E311" s="51" t="s">
        <v>1506</v>
      </c>
      <c r="F311" s="52" t="s">
        <v>40</v>
      </c>
      <c r="G311" s="53" t="s">
        <v>45</v>
      </c>
      <c r="H311" s="57" t="s">
        <v>41</v>
      </c>
      <c r="I311" s="36">
        <v>1</v>
      </c>
      <c r="J311" s="37">
        <v>28</v>
      </c>
      <c r="K311" s="37" t="s">
        <v>1684</v>
      </c>
      <c r="L311" s="37" t="s">
        <v>63</v>
      </c>
      <c r="M311" s="60" t="s">
        <v>173</v>
      </c>
      <c r="N311" s="131" t="s">
        <v>1683</v>
      </c>
    </row>
    <row r="312" spans="1:14" ht="36" x14ac:dyDescent="0.2">
      <c r="A312" s="36">
        <v>800</v>
      </c>
      <c r="B312" s="36" t="s">
        <v>1647</v>
      </c>
      <c r="C312" s="50" t="str">
        <f>HYPERLINK("#Particularidade!"&amp;ADDRESS(MATCH(B312,Particularidade!B:B,0),2),"Ir para particularidadedes")</f>
        <v>Ir para particularidadedes</v>
      </c>
      <c r="D312" s="51" t="s">
        <v>1645</v>
      </c>
      <c r="E312" s="51" t="s">
        <v>1646</v>
      </c>
      <c r="F312" s="51" t="s">
        <v>617</v>
      </c>
      <c r="G312" s="126" t="s">
        <v>46</v>
      </c>
      <c r="H312" s="57" t="s">
        <v>41</v>
      </c>
      <c r="I312" s="76">
        <v>7</v>
      </c>
      <c r="J312" s="78">
        <v>3</v>
      </c>
      <c r="K312" s="78"/>
      <c r="L312" s="63" t="s">
        <v>63</v>
      </c>
      <c r="M312" s="56" t="s">
        <v>642</v>
      </c>
      <c r="N312" s="172"/>
    </row>
    <row r="313" spans="1:14" ht="36" x14ac:dyDescent="0.2">
      <c r="A313" s="36">
        <v>541</v>
      </c>
      <c r="B313" s="36" t="s">
        <v>482</v>
      </c>
      <c r="C313" s="50" t="str">
        <f>HYPERLINK("#Particularidade!"&amp;ADDRESS(MATCH(B313,Particularidade!B:B,0),2),"Ir para particularidadedes")</f>
        <v>Ir para particularidadedes</v>
      </c>
      <c r="D313" s="51" t="s">
        <v>1214</v>
      </c>
      <c r="E313" s="51"/>
      <c r="F313" s="52" t="s">
        <v>613</v>
      </c>
      <c r="G313" s="53" t="s">
        <v>45</v>
      </c>
      <c r="H313" s="57" t="s">
        <v>41</v>
      </c>
      <c r="I313" s="54">
        <v>2</v>
      </c>
      <c r="J313" s="57">
        <v>28</v>
      </c>
      <c r="K313" s="57" t="s">
        <v>1689</v>
      </c>
      <c r="L313" s="57" t="s">
        <v>63</v>
      </c>
      <c r="M313" s="60" t="s">
        <v>140</v>
      </c>
      <c r="N313" s="131" t="s">
        <v>1687</v>
      </c>
    </row>
    <row r="314" spans="1:14" ht="84" x14ac:dyDescent="0.2">
      <c r="A314" s="37">
        <v>89</v>
      </c>
      <c r="B314" s="36" t="s">
        <v>877</v>
      </c>
      <c r="C314" s="50" t="str">
        <f>HYPERLINK("#Particularidade!"&amp;ADDRESS(MATCH(B314,Particularidade!B:B,0),2),"Ir para particularidadedes")</f>
        <v>Ir para particularidadedes</v>
      </c>
      <c r="D314" s="51" t="s">
        <v>878</v>
      </c>
      <c r="E314" s="51" t="s">
        <v>875</v>
      </c>
      <c r="F314" s="52" t="s">
        <v>617</v>
      </c>
      <c r="G314" s="53" t="s">
        <v>45</v>
      </c>
      <c r="H314" s="57" t="s">
        <v>42</v>
      </c>
      <c r="I314" s="54">
        <v>4</v>
      </c>
      <c r="J314" s="57">
        <v>28</v>
      </c>
      <c r="K314" s="57" t="s">
        <v>1689</v>
      </c>
      <c r="L314" s="57" t="s">
        <v>63</v>
      </c>
      <c r="M314" s="56" t="s">
        <v>80</v>
      </c>
      <c r="N314" s="131" t="s">
        <v>1687</v>
      </c>
    </row>
    <row r="315" spans="1:14" ht="36" x14ac:dyDescent="0.2">
      <c r="A315" s="37">
        <v>112</v>
      </c>
      <c r="B315" s="36" t="s">
        <v>890</v>
      </c>
      <c r="C315" s="50" t="str">
        <f>HYPERLINK("#Particularidade!"&amp;ADDRESS(MATCH(B315,Particularidade!B:B,0),2),"Ir para particularidadedes")</f>
        <v>Ir para particularidadedes</v>
      </c>
      <c r="D315" s="51" t="s">
        <v>889</v>
      </c>
      <c r="E315" s="51" t="s">
        <v>913</v>
      </c>
      <c r="F315" s="52" t="s">
        <v>617</v>
      </c>
      <c r="G315" s="53" t="s">
        <v>45</v>
      </c>
      <c r="H315" s="57" t="s">
        <v>41</v>
      </c>
      <c r="I315" s="54">
        <v>2</v>
      </c>
      <c r="J315" s="57">
        <v>28</v>
      </c>
      <c r="K315" s="57" t="s">
        <v>1684</v>
      </c>
      <c r="L315" s="57" t="s">
        <v>63</v>
      </c>
      <c r="M315" s="60" t="s">
        <v>1719</v>
      </c>
      <c r="N315" s="131" t="s">
        <v>1687</v>
      </c>
    </row>
    <row r="316" spans="1:14" ht="36" x14ac:dyDescent="0.2">
      <c r="A316" s="42">
        <v>804</v>
      </c>
      <c r="B316" s="38" t="s">
        <v>1638</v>
      </c>
      <c r="C316" s="50" t="str">
        <f>HYPERLINK("#Particularidade!"&amp;ADDRESS(MATCH(B316,Particularidade!B:B,0),2),"Ir para particularidadedes")</f>
        <v>Ir para particularidadedes</v>
      </c>
      <c r="D316" s="51" t="s">
        <v>1637</v>
      </c>
      <c r="E316" s="51"/>
      <c r="F316" s="51"/>
      <c r="G316" s="129" t="s">
        <v>1836</v>
      </c>
      <c r="H316" s="67" t="s">
        <v>52</v>
      </c>
      <c r="I316" s="79"/>
      <c r="J316" s="67">
        <v>21</v>
      </c>
      <c r="K316" s="67"/>
      <c r="L316" s="67" t="s">
        <v>63</v>
      </c>
      <c r="M316" s="66" t="s">
        <v>639</v>
      </c>
    </row>
    <row r="317" spans="1:14" ht="48" x14ac:dyDescent="0.2">
      <c r="A317" s="37">
        <v>257</v>
      </c>
      <c r="B317" s="36" t="s">
        <v>963</v>
      </c>
      <c r="C317" s="50" t="str">
        <f>HYPERLINK("#Particularidade!"&amp;ADDRESS(MATCH(B317,Particularidade!B:B,0),2),"Ir para particularidadedes")</f>
        <v>Ir para particularidadedes</v>
      </c>
      <c r="D317" s="51" t="s">
        <v>962</v>
      </c>
      <c r="E317" s="51" t="s">
        <v>961</v>
      </c>
      <c r="F317" s="52" t="s">
        <v>614</v>
      </c>
      <c r="G317" s="53" t="s">
        <v>45</v>
      </c>
      <c r="H317" s="57" t="s">
        <v>41</v>
      </c>
      <c r="I317" s="54">
        <v>1</v>
      </c>
      <c r="J317" s="57">
        <v>28</v>
      </c>
      <c r="K317" s="57" t="s">
        <v>1689</v>
      </c>
      <c r="L317" s="57" t="s">
        <v>63</v>
      </c>
      <c r="M317" s="60" t="s">
        <v>97</v>
      </c>
      <c r="N317" s="131" t="s">
        <v>1687</v>
      </c>
    </row>
    <row r="318" spans="1:14" x14ac:dyDescent="0.2">
      <c r="A318" s="42">
        <v>806</v>
      </c>
      <c r="B318" s="38" t="s">
        <v>1633</v>
      </c>
      <c r="C318" s="50" t="str">
        <f>HYPERLINK("#Particularidade!"&amp;ADDRESS(MATCH(B318,Particularidade!B:B,0),2),"Ir para particularidadedes")</f>
        <v>Ir para particularidadedes</v>
      </c>
      <c r="D318" s="51" t="s">
        <v>1632</v>
      </c>
      <c r="E318" s="51"/>
      <c r="F318" s="52" t="s">
        <v>40</v>
      </c>
      <c r="G318" s="129" t="s">
        <v>1836</v>
      </c>
      <c r="H318" s="67" t="s">
        <v>52</v>
      </c>
      <c r="I318" s="45"/>
      <c r="J318" s="67">
        <v>21</v>
      </c>
      <c r="K318" s="67"/>
      <c r="L318" s="67" t="s">
        <v>63</v>
      </c>
      <c r="M318" s="66" t="s">
        <v>189</v>
      </c>
    </row>
    <row r="319" spans="1:14" ht="36" x14ac:dyDescent="0.2">
      <c r="A319" s="44">
        <v>807</v>
      </c>
      <c r="B319" s="36" t="s">
        <v>1630</v>
      </c>
      <c r="C319" s="50" t="str">
        <f>HYPERLINK("#Particularidade!"&amp;ADDRESS(MATCH(B319,Particularidade!B:B,0),2),"Ir para particularidadedes")</f>
        <v>Ir para particularidadedes</v>
      </c>
      <c r="D319" s="51" t="s">
        <v>1629</v>
      </c>
      <c r="E319" s="51"/>
      <c r="F319" s="52" t="s">
        <v>1196</v>
      </c>
      <c r="G319" s="53" t="s">
        <v>45</v>
      </c>
      <c r="H319" s="57" t="s">
        <v>50</v>
      </c>
      <c r="I319" s="80">
        <v>1</v>
      </c>
      <c r="J319" s="54">
        <v>28</v>
      </c>
      <c r="K319" s="54"/>
      <c r="L319" s="77" t="s">
        <v>63</v>
      </c>
      <c r="M319" s="60" t="s">
        <v>190</v>
      </c>
    </row>
    <row r="320" spans="1:14" ht="36" x14ac:dyDescent="0.2">
      <c r="A320" s="43">
        <v>808</v>
      </c>
      <c r="B320" s="37" t="s">
        <v>1627</v>
      </c>
      <c r="C320" s="50" t="str">
        <f>HYPERLINK("#Particularidade!"&amp;ADDRESS(MATCH(B320,Particularidade!B:B,0),2),"Ir para particularidadedes")</f>
        <v>Ir para particularidadedes</v>
      </c>
      <c r="D320" s="51" t="s">
        <v>1628</v>
      </c>
      <c r="E320" s="51"/>
      <c r="F320" s="52" t="s">
        <v>613</v>
      </c>
      <c r="G320" s="129" t="s">
        <v>1836</v>
      </c>
      <c r="H320" s="57" t="s">
        <v>39</v>
      </c>
      <c r="I320" s="57" t="s">
        <v>57</v>
      </c>
      <c r="J320" s="57">
        <v>21</v>
      </c>
      <c r="K320" s="57"/>
      <c r="L320" s="54" t="s">
        <v>63</v>
      </c>
      <c r="M320" s="49" t="s">
        <v>1761</v>
      </c>
    </row>
    <row r="321" spans="1:14" ht="36" x14ac:dyDescent="0.2">
      <c r="A321" s="44">
        <v>812</v>
      </c>
      <c r="B321" s="36" t="s">
        <v>30</v>
      </c>
      <c r="C321" s="50" t="str">
        <f>HYPERLINK("#Particularidade!"&amp;ADDRESS(MATCH(B321,Particularidade!B:B,0),2),"Ir para particularidadedes")</f>
        <v>Ir para particularidadedes</v>
      </c>
      <c r="D321" s="51" t="s">
        <v>1626</v>
      </c>
      <c r="E321" s="51"/>
      <c r="F321" s="52" t="s">
        <v>1196</v>
      </c>
      <c r="G321" s="129" t="s">
        <v>46</v>
      </c>
      <c r="H321" s="57" t="s">
        <v>50</v>
      </c>
      <c r="I321" s="73">
        <v>0</v>
      </c>
      <c r="J321" s="54">
        <v>30</v>
      </c>
      <c r="K321" s="54"/>
      <c r="L321" s="77" t="s">
        <v>63</v>
      </c>
      <c r="M321" s="60" t="s">
        <v>191</v>
      </c>
    </row>
    <row r="322" spans="1:14" ht="36" x14ac:dyDescent="0.2">
      <c r="A322" s="42">
        <v>813</v>
      </c>
      <c r="B322" s="38" t="s">
        <v>1624</v>
      </c>
      <c r="C322" s="50" t="str">
        <f>HYPERLINK("#Particularidade!"&amp;ADDRESS(MATCH(B322,Particularidade!B:B,0),2),"Ir para particularidadedes")</f>
        <v>Ir para particularidadedes</v>
      </c>
      <c r="D322" s="51" t="s">
        <v>1625</v>
      </c>
      <c r="E322" s="51"/>
      <c r="F322" s="52" t="s">
        <v>613</v>
      </c>
      <c r="G322" s="53" t="s">
        <v>45</v>
      </c>
      <c r="H322" s="67" t="s">
        <v>50</v>
      </c>
      <c r="I322" s="45"/>
      <c r="J322" s="67">
        <v>21</v>
      </c>
      <c r="K322" s="67"/>
      <c r="L322" s="67" t="s">
        <v>63</v>
      </c>
      <c r="M322" s="66" t="s">
        <v>192</v>
      </c>
    </row>
    <row r="323" spans="1:14" ht="48" x14ac:dyDescent="0.2">
      <c r="A323" s="84">
        <v>1054</v>
      </c>
      <c r="B323" s="36" t="s">
        <v>1264</v>
      </c>
      <c r="C323" s="50" t="str">
        <f>HYPERLINK("#Particularidade!"&amp;ADDRESS(MATCH(B323,Particularidade!B:B,0),2),"Ir para particularidadedes")</f>
        <v>Ir para particularidadedes</v>
      </c>
      <c r="D323" s="51" t="s">
        <v>1263</v>
      </c>
      <c r="E323" s="51" t="s">
        <v>1257</v>
      </c>
      <c r="F323" s="52" t="s">
        <v>1196</v>
      </c>
      <c r="G323" s="53" t="s">
        <v>45</v>
      </c>
      <c r="H323" s="57" t="s">
        <v>41</v>
      </c>
      <c r="I323" s="54">
        <v>1</v>
      </c>
      <c r="J323" s="57">
        <v>28</v>
      </c>
      <c r="K323" s="57" t="s">
        <v>1684</v>
      </c>
      <c r="L323" s="124" t="s">
        <v>70</v>
      </c>
      <c r="M323" s="60" t="s">
        <v>640</v>
      </c>
      <c r="N323" s="131" t="s">
        <v>1687</v>
      </c>
    </row>
    <row r="324" spans="1:14" x14ac:dyDescent="0.2">
      <c r="A324" s="42">
        <v>815</v>
      </c>
      <c r="B324" s="38" t="s">
        <v>1620</v>
      </c>
      <c r="C324" s="50" t="str">
        <f>HYPERLINK("#Particularidade!"&amp;ADDRESS(MATCH(B324,Particularidade!B:B,0),2),"Ir para particularidadedes")</f>
        <v>Ir para particularidadedes</v>
      </c>
      <c r="D324" s="51" t="s">
        <v>1619</v>
      </c>
      <c r="E324" s="51"/>
      <c r="F324" s="52" t="s">
        <v>40</v>
      </c>
      <c r="G324" s="129" t="s">
        <v>1836</v>
      </c>
      <c r="H324" s="67" t="s">
        <v>52</v>
      </c>
      <c r="I324" s="45"/>
      <c r="J324" s="67">
        <v>21</v>
      </c>
      <c r="K324" s="67"/>
      <c r="L324" s="67" t="s">
        <v>63</v>
      </c>
      <c r="M324" s="81" t="s">
        <v>194</v>
      </c>
    </row>
    <row r="325" spans="1:14" ht="36" x14ac:dyDescent="0.2">
      <c r="A325" s="44">
        <v>816</v>
      </c>
      <c r="B325" s="36" t="s">
        <v>1618</v>
      </c>
      <c r="C325" s="50" t="str">
        <f>HYPERLINK("#Particularidade!"&amp;ADDRESS(MATCH(B325,Particularidade!B:B,0),2),"Ir para particularidadedes")</f>
        <v>Ir para particularidadedes</v>
      </c>
      <c r="D325" s="51" t="s">
        <v>1617</v>
      </c>
      <c r="E325" s="51"/>
      <c r="F325" s="52" t="s">
        <v>1196</v>
      </c>
      <c r="G325" s="129" t="s">
        <v>1836</v>
      </c>
      <c r="H325" s="57" t="s">
        <v>53</v>
      </c>
      <c r="I325" s="80">
        <v>1</v>
      </c>
      <c r="J325" s="54">
        <v>28</v>
      </c>
      <c r="K325" s="54"/>
      <c r="L325" s="77" t="s">
        <v>63</v>
      </c>
      <c r="M325" s="60" t="s">
        <v>195</v>
      </c>
    </row>
    <row r="326" spans="1:14" ht="36" x14ac:dyDescent="0.2">
      <c r="A326" s="44">
        <v>817</v>
      </c>
      <c r="B326" s="36" t="s">
        <v>1616</v>
      </c>
      <c r="C326" s="50" t="str">
        <f>HYPERLINK("#Particularidade!"&amp;ADDRESS(MATCH(B326,Particularidade!B:B,0),2),"Ir para particularidadedes")</f>
        <v>Ir para particularidadedes</v>
      </c>
      <c r="D326" s="51" t="s">
        <v>1615</v>
      </c>
      <c r="E326" s="51" t="s">
        <v>1568</v>
      </c>
      <c r="F326" s="52" t="s">
        <v>40</v>
      </c>
      <c r="G326" s="53" t="s">
        <v>45</v>
      </c>
      <c r="H326" s="57" t="s">
        <v>50</v>
      </c>
      <c r="I326" s="80">
        <v>1</v>
      </c>
      <c r="J326" s="73">
        <v>30</v>
      </c>
      <c r="K326" s="73"/>
      <c r="L326" s="77" t="s">
        <v>63</v>
      </c>
      <c r="M326" s="60" t="s">
        <v>196</v>
      </c>
    </row>
    <row r="327" spans="1:14" ht="36" x14ac:dyDescent="0.2">
      <c r="A327" s="44">
        <v>818</v>
      </c>
      <c r="B327" s="36" t="s">
        <v>1613</v>
      </c>
      <c r="C327" s="50" t="str">
        <f>HYPERLINK("#Particularidade!"&amp;ADDRESS(MATCH(B327,Particularidade!B:B,0),2),"Ir para particularidadedes")</f>
        <v>Ir para particularidadedes</v>
      </c>
      <c r="D327" s="51" t="s">
        <v>1614</v>
      </c>
      <c r="E327" s="51"/>
      <c r="F327" s="52" t="s">
        <v>613</v>
      </c>
      <c r="G327" s="129" t="s">
        <v>1836</v>
      </c>
      <c r="H327" s="54" t="s">
        <v>39</v>
      </c>
      <c r="I327" s="57" t="s">
        <v>57</v>
      </c>
      <c r="J327" s="54">
        <v>21</v>
      </c>
      <c r="K327" s="54"/>
      <c r="L327" s="54" t="s">
        <v>63</v>
      </c>
      <c r="M327" s="49" t="s">
        <v>1761</v>
      </c>
    </row>
    <row r="328" spans="1:14" ht="36" x14ac:dyDescent="0.2">
      <c r="A328" s="36">
        <v>830</v>
      </c>
      <c r="B328" s="36" t="s">
        <v>1592</v>
      </c>
      <c r="C328" s="50" t="str">
        <f>HYPERLINK("#Particularidade!"&amp;ADDRESS(MATCH(B328,Particularidade!B:B,0),2),"Ir para particularidadedes")</f>
        <v>Ir para particularidadedes</v>
      </c>
      <c r="D328" s="51" t="s">
        <v>1591</v>
      </c>
      <c r="E328" s="51" t="s">
        <v>1590</v>
      </c>
      <c r="F328" s="52" t="s">
        <v>613</v>
      </c>
      <c r="G328" s="53" t="s">
        <v>45</v>
      </c>
      <c r="H328" s="57" t="s">
        <v>41</v>
      </c>
      <c r="I328" s="76">
        <v>1</v>
      </c>
      <c r="J328" s="82"/>
      <c r="K328" s="82" t="s">
        <v>1684</v>
      </c>
      <c r="L328" s="77" t="s">
        <v>63</v>
      </c>
      <c r="M328" s="56" t="s">
        <v>1723</v>
      </c>
      <c r="N328" s="180" t="s">
        <v>1683</v>
      </c>
    </row>
    <row r="329" spans="1:14" ht="48" x14ac:dyDescent="0.2">
      <c r="A329" s="36">
        <v>822</v>
      </c>
      <c r="B329" s="36" t="s">
        <v>1610</v>
      </c>
      <c r="C329" s="50" t="str">
        <f>HYPERLINK("#Particularidade!"&amp;ADDRESS(MATCH(B329,Particularidade!B:B,0),2),"Ir para particularidadedes")</f>
        <v>Ir para particularidadedes</v>
      </c>
      <c r="D329" s="196" t="s">
        <v>1609</v>
      </c>
      <c r="E329" s="195" t="s">
        <v>1608</v>
      </c>
      <c r="F329" s="52" t="s">
        <v>613</v>
      </c>
      <c r="G329" s="141" t="s">
        <v>47</v>
      </c>
      <c r="H329" s="57" t="s">
        <v>41</v>
      </c>
      <c r="I329" s="76">
        <v>18</v>
      </c>
      <c r="J329" s="57">
        <v>2</v>
      </c>
      <c r="K329" s="57"/>
      <c r="L329" s="77" t="s">
        <v>63</v>
      </c>
      <c r="M329" s="56" t="s">
        <v>1762</v>
      </c>
      <c r="N329" s="131" t="s">
        <v>1683</v>
      </c>
    </row>
    <row r="330" spans="1:14" x14ac:dyDescent="0.2">
      <c r="A330" s="36">
        <v>824</v>
      </c>
      <c r="B330" s="36" t="s">
        <v>1606</v>
      </c>
      <c r="C330" s="50" t="str">
        <f>HYPERLINK("#Particularidade!"&amp;ADDRESS(MATCH(B330,Particularidade!B:B,0),2),"Ir para particularidadedes")</f>
        <v>Ir para particularidadedes</v>
      </c>
      <c r="D330" s="51" t="s">
        <v>1607</v>
      </c>
      <c r="E330" s="51"/>
      <c r="F330" s="52" t="s">
        <v>40</v>
      </c>
      <c r="G330" s="143" t="s">
        <v>46</v>
      </c>
      <c r="H330" s="57" t="s">
        <v>52</v>
      </c>
      <c r="I330" s="77">
        <v>0</v>
      </c>
      <c r="J330" s="57"/>
      <c r="K330" s="57"/>
      <c r="L330" s="77" t="s">
        <v>63</v>
      </c>
      <c r="M330" s="56" t="s">
        <v>790</v>
      </c>
    </row>
    <row r="331" spans="1:14" ht="24" x14ac:dyDescent="0.2">
      <c r="A331" s="36">
        <v>823</v>
      </c>
      <c r="B331" s="36" t="s">
        <v>1605</v>
      </c>
      <c r="C331" s="50" t="str">
        <f>HYPERLINK("#Particularidade!"&amp;ADDRESS(MATCH(B331,Particularidade!B:B,0),2),"Ir para particularidadedes")</f>
        <v>Ir para particularidadedes</v>
      </c>
      <c r="D331" s="51" t="s">
        <v>1604</v>
      </c>
      <c r="E331" s="51"/>
      <c r="F331" s="52" t="s">
        <v>1196</v>
      </c>
      <c r="G331" s="129" t="s">
        <v>1836</v>
      </c>
      <c r="H331" s="57" t="s">
        <v>53</v>
      </c>
      <c r="I331" s="77">
        <v>2</v>
      </c>
      <c r="J331" s="57">
        <v>28</v>
      </c>
      <c r="K331" s="57"/>
      <c r="L331" s="77" t="s">
        <v>63</v>
      </c>
      <c r="M331" s="56" t="s">
        <v>197</v>
      </c>
      <c r="N331" s="119" t="s">
        <v>1683</v>
      </c>
    </row>
    <row r="332" spans="1:14" x14ac:dyDescent="0.2">
      <c r="A332" s="36">
        <v>825</v>
      </c>
      <c r="B332" s="36" t="s">
        <v>1602</v>
      </c>
      <c r="C332" s="50" t="str">
        <f>HYPERLINK("#Particularidade!"&amp;ADDRESS(MATCH(B332,Particularidade!B:B,0),2),"Ir para particularidadedes")</f>
        <v>Ir para particularidadedes</v>
      </c>
      <c r="D332" s="51" t="s">
        <v>1603</v>
      </c>
      <c r="E332" s="51"/>
      <c r="F332" s="52" t="s">
        <v>40</v>
      </c>
      <c r="G332" s="53" t="s">
        <v>45</v>
      </c>
      <c r="H332" s="57" t="s">
        <v>54</v>
      </c>
      <c r="I332" s="77">
        <v>0</v>
      </c>
      <c r="J332" s="82"/>
      <c r="K332" s="82"/>
      <c r="L332" s="63" t="s">
        <v>63</v>
      </c>
      <c r="M332" s="56" t="s">
        <v>198</v>
      </c>
    </row>
    <row r="333" spans="1:14" ht="36" x14ac:dyDescent="0.2">
      <c r="A333" s="36">
        <v>826</v>
      </c>
      <c r="B333" s="36" t="s">
        <v>1600</v>
      </c>
      <c r="C333" s="50" t="str">
        <f>HYPERLINK("#Particularidade!"&amp;ADDRESS(MATCH(B333,Particularidade!B:B,0),2),"Ir para particularidadedes")</f>
        <v>Ir para particularidadedes</v>
      </c>
      <c r="D333" s="51" t="s">
        <v>1601</v>
      </c>
      <c r="E333" s="51"/>
      <c r="F333" s="51" t="s">
        <v>613</v>
      </c>
      <c r="G333" s="126" t="s">
        <v>46</v>
      </c>
      <c r="H333" s="57" t="s">
        <v>41</v>
      </c>
      <c r="I333" s="54">
        <v>8</v>
      </c>
      <c r="J333" s="54">
        <v>3</v>
      </c>
      <c r="K333" s="54"/>
      <c r="L333" s="54" t="s">
        <v>63</v>
      </c>
      <c r="M333" s="49" t="s">
        <v>1761</v>
      </c>
      <c r="N333" s="180"/>
    </row>
    <row r="334" spans="1:14" ht="36" x14ac:dyDescent="0.2">
      <c r="A334" s="36">
        <v>827</v>
      </c>
      <c r="B334" s="36" t="s">
        <v>1599</v>
      </c>
      <c r="C334" s="50" t="str">
        <f>HYPERLINK("#Particularidade!"&amp;ADDRESS(MATCH(B334,Particularidade!B:B,0),2),"Ir para particularidadedes")</f>
        <v>Ir para particularidadedes</v>
      </c>
      <c r="D334" s="194" t="s">
        <v>1598</v>
      </c>
      <c r="E334" s="195" t="s">
        <v>1597</v>
      </c>
      <c r="F334" s="52" t="s">
        <v>613</v>
      </c>
      <c r="G334" s="141" t="s">
        <v>47</v>
      </c>
      <c r="H334" s="57" t="s">
        <v>41</v>
      </c>
      <c r="I334" s="76">
        <v>3</v>
      </c>
      <c r="J334" s="77">
        <v>30</v>
      </c>
      <c r="K334" s="77"/>
      <c r="L334" s="77" t="s">
        <v>63</v>
      </c>
      <c r="M334" s="56" t="s">
        <v>1830</v>
      </c>
      <c r="N334" s="131" t="s">
        <v>1683</v>
      </c>
    </row>
    <row r="335" spans="1:14" ht="36" x14ac:dyDescent="0.2">
      <c r="A335" s="36">
        <v>828</v>
      </c>
      <c r="B335" s="36" t="s">
        <v>1596</v>
      </c>
      <c r="C335" s="50" t="str">
        <f>HYPERLINK("#Particularidade!"&amp;ADDRESS(MATCH(B335,Particularidade!B:B,0),2),"Ir para particularidadedes")</f>
        <v>Ir para particularidadedes</v>
      </c>
      <c r="D335" s="51" t="s">
        <v>1595</v>
      </c>
      <c r="E335" s="51"/>
      <c r="F335" s="52" t="s">
        <v>613</v>
      </c>
      <c r="G335" s="129" t="s">
        <v>1836</v>
      </c>
      <c r="H335" s="57" t="s">
        <v>39</v>
      </c>
      <c r="I335" s="77" t="s">
        <v>57</v>
      </c>
      <c r="J335" s="77">
        <v>21</v>
      </c>
      <c r="K335" s="77"/>
      <c r="L335" s="77" t="s">
        <v>63</v>
      </c>
      <c r="M335" s="60" t="s">
        <v>199</v>
      </c>
    </row>
    <row r="336" spans="1:14" ht="48" x14ac:dyDescent="0.2">
      <c r="A336" s="37">
        <v>244</v>
      </c>
      <c r="B336" s="36" t="s">
        <v>948</v>
      </c>
      <c r="C336" s="50" t="str">
        <f>HYPERLINK("#Particularidade!"&amp;ADDRESS(MATCH(B336,Particularidade!B:B,0),2),"Ir para particularidadedes")</f>
        <v>Ir para particularidadedes</v>
      </c>
      <c r="D336" s="51" t="s">
        <v>946</v>
      </c>
      <c r="E336" s="121" t="s">
        <v>947</v>
      </c>
      <c r="F336" s="52" t="s">
        <v>617</v>
      </c>
      <c r="G336" s="53" t="s">
        <v>45</v>
      </c>
      <c r="H336" s="57" t="s">
        <v>41</v>
      </c>
      <c r="I336" s="54">
        <v>1</v>
      </c>
      <c r="J336" s="57">
        <v>28</v>
      </c>
      <c r="K336" s="57" t="s">
        <v>1689</v>
      </c>
      <c r="L336" s="57" t="s">
        <v>63</v>
      </c>
      <c r="M336" s="60" t="s">
        <v>93</v>
      </c>
      <c r="N336" s="173" t="s">
        <v>1683</v>
      </c>
    </row>
    <row r="337" spans="1:14" ht="60" x14ac:dyDescent="0.2">
      <c r="A337" s="37">
        <v>4</v>
      </c>
      <c r="B337" s="36" t="s">
        <v>800</v>
      </c>
      <c r="C337" s="50" t="str">
        <f>HYPERLINK("#Particularidade!"&amp;ADDRESS(MATCH(B337,Particularidade!B:B,0),2),"Ir para particularidadedes")</f>
        <v>Ir para particularidadedes</v>
      </c>
      <c r="D337" s="51" t="s">
        <v>801</v>
      </c>
      <c r="E337" s="51" t="s">
        <v>610</v>
      </c>
      <c r="F337" s="52" t="s">
        <v>613</v>
      </c>
      <c r="G337" s="53" t="s">
        <v>45</v>
      </c>
      <c r="H337" s="54" t="s">
        <v>41</v>
      </c>
      <c r="I337" s="54">
        <v>3</v>
      </c>
      <c r="J337" s="54">
        <v>28</v>
      </c>
      <c r="K337" s="54" t="s">
        <v>1684</v>
      </c>
      <c r="L337" s="55" t="s">
        <v>63</v>
      </c>
      <c r="M337" s="56" t="s">
        <v>1685</v>
      </c>
      <c r="N337" s="173" t="s">
        <v>1683</v>
      </c>
    </row>
    <row r="338" spans="1:14" x14ac:dyDescent="0.2">
      <c r="A338" s="36">
        <v>831</v>
      </c>
      <c r="B338" s="36" t="s">
        <v>31</v>
      </c>
      <c r="C338" s="50" t="str">
        <f>HYPERLINK("#Particularidade!"&amp;ADDRESS(MATCH(B338,Particularidade!B:B,0),2),"Ir para particularidadedes")</f>
        <v>Ir para particularidadedes</v>
      </c>
      <c r="D338" s="51" t="s">
        <v>1589</v>
      </c>
      <c r="E338" s="51"/>
      <c r="F338" s="52" t="s">
        <v>40</v>
      </c>
      <c r="G338" s="53" t="s">
        <v>45</v>
      </c>
      <c r="H338" s="57" t="s">
        <v>54</v>
      </c>
      <c r="I338" s="77"/>
      <c r="J338" s="77"/>
      <c r="K338" s="77"/>
      <c r="L338" s="77" t="s">
        <v>63</v>
      </c>
      <c r="M338" s="56" t="s">
        <v>200</v>
      </c>
    </row>
    <row r="339" spans="1:14" ht="36" x14ac:dyDescent="0.2">
      <c r="A339" s="36">
        <v>832</v>
      </c>
      <c r="B339" s="36" t="s">
        <v>1588</v>
      </c>
      <c r="C339" s="50" t="str">
        <f>HYPERLINK("#Particularidade!"&amp;ADDRESS(MATCH(B339,Particularidade!B:B,0),2),"Ir para particularidadedes")</f>
        <v>Ir para particularidadedes</v>
      </c>
      <c r="D339" s="51" t="s">
        <v>1587</v>
      </c>
      <c r="E339" s="51" t="s">
        <v>1586</v>
      </c>
      <c r="F339" s="52" t="s">
        <v>617</v>
      </c>
      <c r="G339" s="143" t="s">
        <v>46</v>
      </c>
      <c r="H339" s="57" t="s">
        <v>50</v>
      </c>
      <c r="I339" s="77">
        <v>2</v>
      </c>
      <c r="J339" s="77">
        <v>28</v>
      </c>
      <c r="K339" s="77"/>
      <c r="L339" s="77" t="s">
        <v>63</v>
      </c>
      <c r="M339" s="70" t="s">
        <v>1763</v>
      </c>
    </row>
    <row r="340" spans="1:14" x14ac:dyDescent="0.2">
      <c r="A340" s="36">
        <v>833</v>
      </c>
      <c r="B340" s="36" t="s">
        <v>1585</v>
      </c>
      <c r="C340" s="50" t="str">
        <f>HYPERLINK("#Particularidade!"&amp;ADDRESS(MATCH(B340,Particularidade!B:B,0),2),"Ir para particularidadedes")</f>
        <v>Ir para particularidadedes</v>
      </c>
      <c r="D340" s="51" t="s">
        <v>1584</v>
      </c>
      <c r="E340" s="51"/>
      <c r="F340" s="52" t="s">
        <v>40</v>
      </c>
      <c r="G340" s="53" t="s">
        <v>45</v>
      </c>
      <c r="H340" s="57" t="s">
        <v>51</v>
      </c>
      <c r="I340" s="76">
        <v>1</v>
      </c>
      <c r="J340" s="77">
        <v>30</v>
      </c>
      <c r="K340" s="77"/>
      <c r="L340" s="77" t="s">
        <v>63</v>
      </c>
      <c r="M340" s="70" t="s">
        <v>656</v>
      </c>
    </row>
    <row r="341" spans="1:14" ht="36" x14ac:dyDescent="0.2">
      <c r="A341" s="37">
        <v>346</v>
      </c>
      <c r="B341" s="36" t="s">
        <v>1015</v>
      </c>
      <c r="C341" s="50" t="str">
        <f>HYPERLINK("#Particularidade!"&amp;ADDRESS(MATCH(B341,Particularidade!B:B,0),2),"Ir para particularidadedes")</f>
        <v>Ir para particularidadedes</v>
      </c>
      <c r="D341" s="51" t="s">
        <v>1016</v>
      </c>
      <c r="E341" s="51"/>
      <c r="F341" s="52" t="s">
        <v>614</v>
      </c>
      <c r="G341" s="53" t="s">
        <v>45</v>
      </c>
      <c r="H341" s="57" t="s">
        <v>41</v>
      </c>
      <c r="I341" s="54">
        <v>3</v>
      </c>
      <c r="J341" s="57">
        <v>3</v>
      </c>
      <c r="K341" s="57" t="s">
        <v>1689</v>
      </c>
      <c r="L341" s="57" t="s">
        <v>63</v>
      </c>
      <c r="M341" s="56" t="s">
        <v>1713</v>
      </c>
      <c r="N341" s="131" t="s">
        <v>1687</v>
      </c>
    </row>
    <row r="342" spans="1:14" ht="36" x14ac:dyDescent="0.2">
      <c r="A342" s="36">
        <v>835</v>
      </c>
      <c r="B342" s="36" t="s">
        <v>1579</v>
      </c>
      <c r="C342" s="50" t="str">
        <f>HYPERLINK("#Particularidade!"&amp;ADDRESS(MATCH(B342,Particularidade!B:B,0),2),"Ir para particularidadedes")</f>
        <v>Ir para particularidadedes</v>
      </c>
      <c r="D342" s="51" t="s">
        <v>1580</v>
      </c>
      <c r="E342" s="51"/>
      <c r="F342" s="52" t="s">
        <v>613</v>
      </c>
      <c r="G342" s="129" t="s">
        <v>1836</v>
      </c>
      <c r="H342" s="57" t="s">
        <v>39</v>
      </c>
      <c r="I342" s="69" t="s">
        <v>57</v>
      </c>
      <c r="J342" s="54">
        <v>21</v>
      </c>
      <c r="K342" s="54"/>
      <c r="L342" s="76" t="s">
        <v>63</v>
      </c>
      <c r="M342" s="49" t="s">
        <v>1860</v>
      </c>
    </row>
    <row r="343" spans="1:14" ht="48" x14ac:dyDescent="0.2">
      <c r="A343" s="36">
        <v>851</v>
      </c>
      <c r="B343" s="113" t="s">
        <v>1451</v>
      </c>
      <c r="C343" s="50" t="str">
        <f>HYPERLINK("#Particularidade!"&amp;ADDRESS(MATCH(B343,Particularidade!B:B,0),2),"Ir para particularidadedes")</f>
        <v>Ir para particularidadedes</v>
      </c>
      <c r="D343" s="51" t="s">
        <v>1450</v>
      </c>
      <c r="E343" s="51" t="s">
        <v>1449</v>
      </c>
      <c r="F343" s="52" t="s">
        <v>613</v>
      </c>
      <c r="G343" s="53" t="s">
        <v>45</v>
      </c>
      <c r="H343" s="57" t="s">
        <v>41</v>
      </c>
      <c r="I343" s="76">
        <v>1</v>
      </c>
      <c r="J343" s="77">
        <v>30</v>
      </c>
      <c r="K343" s="77" t="s">
        <v>1684</v>
      </c>
      <c r="L343" s="63" t="s">
        <v>63</v>
      </c>
      <c r="M343" s="56" t="s">
        <v>209</v>
      </c>
      <c r="N343" s="131" t="s">
        <v>1683</v>
      </c>
    </row>
    <row r="344" spans="1:14" ht="48" x14ac:dyDescent="0.2">
      <c r="A344" s="36">
        <v>869</v>
      </c>
      <c r="B344" s="115" t="s">
        <v>562</v>
      </c>
      <c r="C344" s="50" t="str">
        <f>HYPERLINK("#Particularidade!"&amp;ADDRESS(MATCH(B344,Particularidade!B:B,0),2),"Ir para particularidadedes")</f>
        <v>Ir para particularidadedes</v>
      </c>
      <c r="D344" s="51" t="s">
        <v>1418</v>
      </c>
      <c r="E344" s="51" t="s">
        <v>1417</v>
      </c>
      <c r="F344" s="52" t="s">
        <v>613</v>
      </c>
      <c r="G344" s="53" t="s">
        <v>45</v>
      </c>
      <c r="H344" s="57" t="s">
        <v>41</v>
      </c>
      <c r="I344" s="76">
        <v>2</v>
      </c>
      <c r="J344" s="77">
        <v>30</v>
      </c>
      <c r="K344" s="77" t="s">
        <v>1684</v>
      </c>
      <c r="L344" s="63" t="s">
        <v>63</v>
      </c>
      <c r="M344" s="56" t="s">
        <v>1702</v>
      </c>
      <c r="N344" s="131" t="s">
        <v>1687</v>
      </c>
    </row>
    <row r="345" spans="1:14" ht="36" x14ac:dyDescent="0.2">
      <c r="A345" s="36">
        <v>838</v>
      </c>
      <c r="B345" s="113" t="s">
        <v>1571</v>
      </c>
      <c r="C345" s="50" t="str">
        <f>HYPERLINK("#Particularidade!"&amp;ADDRESS(MATCH(B345,Particularidade!B:B,0),2),"Ir para particularidadedes")</f>
        <v>Ir para particularidadedes</v>
      </c>
      <c r="D345" s="51" t="s">
        <v>1572</v>
      </c>
      <c r="E345" s="51"/>
      <c r="F345" s="52" t="s">
        <v>613</v>
      </c>
      <c r="G345" s="126" t="s">
        <v>46</v>
      </c>
      <c r="H345" s="57" t="s">
        <v>41</v>
      </c>
      <c r="I345" s="69">
        <v>2</v>
      </c>
      <c r="J345" s="54">
        <v>28</v>
      </c>
      <c r="K345" s="54"/>
      <c r="L345" s="54" t="s">
        <v>63</v>
      </c>
      <c r="M345" s="56" t="s">
        <v>1764</v>
      </c>
    </row>
    <row r="346" spans="1:14" ht="36" x14ac:dyDescent="0.2">
      <c r="A346" s="36">
        <v>840</v>
      </c>
      <c r="B346" s="113" t="s">
        <v>1570</v>
      </c>
      <c r="C346" s="50" t="str">
        <f>HYPERLINK("#Particularidade!"&amp;ADDRESS(MATCH(B346,Particularidade!B:B,0),2),"Ir para particularidadedes")</f>
        <v>Ir para particularidadedes</v>
      </c>
      <c r="D346" s="51" t="s">
        <v>1569</v>
      </c>
      <c r="E346" s="51" t="s">
        <v>1568</v>
      </c>
      <c r="F346" s="52" t="s">
        <v>613</v>
      </c>
      <c r="G346" s="129" t="s">
        <v>1836</v>
      </c>
      <c r="H346" s="57" t="s">
        <v>39</v>
      </c>
      <c r="I346" s="202" t="s">
        <v>57</v>
      </c>
      <c r="J346" s="77">
        <v>21</v>
      </c>
      <c r="K346" s="77"/>
      <c r="L346" s="37" t="s">
        <v>63</v>
      </c>
      <c r="M346" s="60" t="s">
        <v>201</v>
      </c>
    </row>
    <row r="347" spans="1:14" ht="48" x14ac:dyDescent="0.2">
      <c r="A347" s="36">
        <v>841</v>
      </c>
      <c r="B347" s="158" t="s">
        <v>1567</v>
      </c>
      <c r="C347" s="50" t="str">
        <f>HYPERLINK("#Particularidade!"&amp;ADDRESS(MATCH(B347,Particularidade!B:B,0),2),"Ir para particularidadedes")</f>
        <v>Ir para particularidadedes</v>
      </c>
      <c r="D347" s="51" t="s">
        <v>1566</v>
      </c>
      <c r="E347" s="51"/>
      <c r="F347" s="52" t="s">
        <v>613</v>
      </c>
      <c r="G347" s="129" t="s">
        <v>1836</v>
      </c>
      <c r="H347" s="57" t="s">
        <v>39</v>
      </c>
      <c r="I347" s="69" t="s">
        <v>57</v>
      </c>
      <c r="J347" s="77">
        <v>21</v>
      </c>
      <c r="K347" s="77"/>
      <c r="L347" s="54" t="s">
        <v>63</v>
      </c>
      <c r="M347" s="56" t="s">
        <v>202</v>
      </c>
    </row>
    <row r="348" spans="1:14" ht="48" x14ac:dyDescent="0.2">
      <c r="A348" s="36">
        <v>842</v>
      </c>
      <c r="B348" s="113" t="s">
        <v>1563</v>
      </c>
      <c r="C348" s="50" t="str">
        <f>HYPERLINK("#Particularidade!"&amp;ADDRESS(MATCH(B348,Particularidade!B:B,0),2),"Ir para particularidadedes")</f>
        <v>Ir para particularidadedes</v>
      </c>
      <c r="D348" s="51" t="s">
        <v>1564</v>
      </c>
      <c r="E348" s="51"/>
      <c r="F348" s="52" t="s">
        <v>1565</v>
      </c>
      <c r="G348" s="159"/>
      <c r="H348" s="57" t="s">
        <v>52</v>
      </c>
      <c r="I348" s="77">
        <v>0</v>
      </c>
      <c r="J348" s="77">
        <v>4</v>
      </c>
      <c r="K348" s="77"/>
      <c r="L348" s="63" t="s">
        <v>63</v>
      </c>
      <c r="M348" s="56" t="s">
        <v>203</v>
      </c>
    </row>
    <row r="349" spans="1:14" ht="36" x14ac:dyDescent="0.2">
      <c r="A349" s="36">
        <v>843</v>
      </c>
      <c r="B349" s="113" t="s">
        <v>1561</v>
      </c>
      <c r="C349" s="50" t="str">
        <f>HYPERLINK("#Particularidade!"&amp;ADDRESS(MATCH(B349,Particularidade!B:B,0),2),"Ir para particularidadedes")</f>
        <v>Ir para particularidadedes</v>
      </c>
      <c r="D349" s="177" t="s">
        <v>1562</v>
      </c>
      <c r="E349" s="178" t="s">
        <v>1779</v>
      </c>
      <c r="F349" s="52" t="s">
        <v>617</v>
      </c>
      <c r="G349" s="129" t="s">
        <v>1836</v>
      </c>
      <c r="H349" s="57" t="s">
        <v>52</v>
      </c>
      <c r="I349" s="76">
        <v>0</v>
      </c>
      <c r="J349" s="77" t="s">
        <v>1834</v>
      </c>
      <c r="K349" s="77"/>
      <c r="L349" s="63" t="s">
        <v>63</v>
      </c>
      <c r="M349" s="56" t="s">
        <v>204</v>
      </c>
      <c r="N349" s="131" t="s">
        <v>1687</v>
      </c>
    </row>
    <row r="350" spans="1:14" ht="48" x14ac:dyDescent="0.2">
      <c r="A350" s="36">
        <v>844</v>
      </c>
      <c r="B350" s="113" t="s">
        <v>1559</v>
      </c>
      <c r="C350" s="50" t="str">
        <f>HYPERLINK("#Particularidade!"&amp;ADDRESS(MATCH(B350,Particularidade!B:B,0),2),"Ir para particularidadedes")</f>
        <v>Ir para particularidadedes</v>
      </c>
      <c r="D350" s="51" t="s">
        <v>1560</v>
      </c>
      <c r="E350" s="51"/>
      <c r="F350" s="52" t="s">
        <v>614</v>
      </c>
      <c r="G350" s="129" t="s">
        <v>1836</v>
      </c>
      <c r="H350" s="57" t="s">
        <v>39</v>
      </c>
      <c r="I350" s="69" t="s">
        <v>57</v>
      </c>
      <c r="J350" s="77">
        <v>21</v>
      </c>
      <c r="K350" s="77"/>
      <c r="L350" s="54" t="s">
        <v>63</v>
      </c>
      <c r="M350" s="56" t="s">
        <v>202</v>
      </c>
    </row>
    <row r="351" spans="1:14" ht="36" x14ac:dyDescent="0.2">
      <c r="A351" s="36">
        <v>801</v>
      </c>
      <c r="B351" s="36" t="s">
        <v>1644</v>
      </c>
      <c r="C351" s="50" t="str">
        <f>HYPERLINK("#Particularidade!"&amp;ADDRESS(MATCH(B351,Particularidade!B:B,0),2),"Ir para particularidadedes")</f>
        <v>Ir para particularidadedes</v>
      </c>
      <c r="D351" s="51" t="s">
        <v>1643</v>
      </c>
      <c r="E351" s="51" t="s">
        <v>1642</v>
      </c>
      <c r="F351" s="52" t="s">
        <v>613</v>
      </c>
      <c r="G351" s="53" t="s">
        <v>45</v>
      </c>
      <c r="H351" s="54" t="s">
        <v>41</v>
      </c>
      <c r="I351" s="76">
        <v>1</v>
      </c>
      <c r="J351" s="76">
        <v>2</v>
      </c>
      <c r="K351" s="76" t="s">
        <v>1689</v>
      </c>
      <c r="L351" s="63" t="s">
        <v>63</v>
      </c>
      <c r="M351" s="68" t="s">
        <v>1541</v>
      </c>
      <c r="N351" s="131" t="s">
        <v>1687</v>
      </c>
    </row>
    <row r="352" spans="1:14" ht="48" x14ac:dyDescent="0.2">
      <c r="A352" s="36">
        <v>847</v>
      </c>
      <c r="B352" s="113" t="s">
        <v>1554</v>
      </c>
      <c r="C352" s="50" t="str">
        <f>HYPERLINK("#Particularidade!"&amp;ADDRESS(MATCH(B352,Particularidade!B:B,0),2),"Ir para particularidadedes")</f>
        <v>Ir para particularidadedes</v>
      </c>
      <c r="D352" s="51" t="s">
        <v>1555</v>
      </c>
      <c r="E352" s="51"/>
      <c r="F352" s="52" t="s">
        <v>613</v>
      </c>
      <c r="G352" s="129" t="s">
        <v>1836</v>
      </c>
      <c r="H352" s="57" t="s">
        <v>39</v>
      </c>
      <c r="I352" s="69" t="s">
        <v>57</v>
      </c>
      <c r="J352" s="77">
        <v>21</v>
      </c>
      <c r="K352" s="77"/>
      <c r="L352" s="54" t="s">
        <v>63</v>
      </c>
      <c r="M352" s="56" t="s">
        <v>1844</v>
      </c>
    </row>
    <row r="353" spans="1:14" x14ac:dyDescent="0.2">
      <c r="A353" s="36">
        <v>848</v>
      </c>
      <c r="B353" s="113" t="s">
        <v>1553</v>
      </c>
      <c r="C353" s="50" t="str">
        <f>HYPERLINK("#Particularidade!"&amp;ADDRESS(MATCH(B353,Particularidade!B:B,0),2),"Ir para particularidadedes")</f>
        <v>Ir para particularidadedes</v>
      </c>
      <c r="D353" s="51" t="s">
        <v>1552</v>
      </c>
      <c r="E353" s="51"/>
      <c r="F353" s="51" t="s">
        <v>1196</v>
      </c>
      <c r="G353" s="129" t="s">
        <v>1836</v>
      </c>
      <c r="H353" s="57" t="s">
        <v>52</v>
      </c>
      <c r="I353" s="77"/>
      <c r="J353" s="77">
        <v>28</v>
      </c>
      <c r="K353" s="77"/>
      <c r="L353" s="63"/>
      <c r="M353" s="56" t="s">
        <v>206</v>
      </c>
    </row>
    <row r="354" spans="1:14" ht="36" x14ac:dyDescent="0.2">
      <c r="A354" s="36">
        <v>849</v>
      </c>
      <c r="B354" s="113" t="s">
        <v>1551</v>
      </c>
      <c r="C354" s="50" t="str">
        <f>HYPERLINK("#Particularidade!"&amp;ADDRESS(MATCH(B354,Particularidade!B:B,0),2),"Ir para particularidadedes")</f>
        <v>Ir para particularidadedes</v>
      </c>
      <c r="D354" s="51" t="s">
        <v>1550</v>
      </c>
      <c r="E354" s="51"/>
      <c r="F354" s="51" t="s">
        <v>1196</v>
      </c>
      <c r="G354" s="53" t="s">
        <v>45</v>
      </c>
      <c r="H354" s="57" t="s">
        <v>50</v>
      </c>
      <c r="I354" s="77">
        <v>0</v>
      </c>
      <c r="J354" s="77">
        <v>28</v>
      </c>
      <c r="K354" s="77"/>
      <c r="L354" s="63"/>
      <c r="M354" s="56" t="s">
        <v>207</v>
      </c>
    </row>
    <row r="355" spans="1:14" ht="36" x14ac:dyDescent="0.2">
      <c r="A355" s="37">
        <v>885</v>
      </c>
      <c r="B355" s="36" t="s">
        <v>1393</v>
      </c>
      <c r="C355" s="50" t="str">
        <f>HYPERLINK("#Particularidade!"&amp;ADDRESS(MATCH(B355,Particularidade!B:B,0),2),"Ir para particularidadedes")</f>
        <v>Ir para particularidadedes</v>
      </c>
      <c r="D355" s="51" t="s">
        <v>1394</v>
      </c>
      <c r="E355" s="51"/>
      <c r="F355" s="52" t="s">
        <v>613</v>
      </c>
      <c r="G355" s="53" t="s">
        <v>45</v>
      </c>
      <c r="H355" s="57" t="s">
        <v>42</v>
      </c>
      <c r="I355" s="57">
        <v>2</v>
      </c>
      <c r="J355" s="57">
        <v>30</v>
      </c>
      <c r="K355" s="57" t="s">
        <v>1689</v>
      </c>
      <c r="L355" s="55" t="s">
        <v>63</v>
      </c>
      <c r="M355" s="56" t="s">
        <v>1715</v>
      </c>
      <c r="N355" s="131" t="s">
        <v>1683</v>
      </c>
    </row>
    <row r="356" spans="1:14" ht="48" x14ac:dyDescent="0.2">
      <c r="A356" s="88">
        <v>473</v>
      </c>
      <c r="B356" s="40" t="s">
        <v>1136</v>
      </c>
      <c r="C356" s="50" t="str">
        <f>HYPERLINK("#Particularidade!"&amp;ADDRESS(MATCH(B356,Particularidade!B:B,0),2),"Ir para particularidadedes")</f>
        <v>Ir para particularidadedes</v>
      </c>
      <c r="D356" s="51" t="s">
        <v>1134</v>
      </c>
      <c r="E356" s="51" t="s">
        <v>1135</v>
      </c>
      <c r="F356" s="52" t="s">
        <v>613</v>
      </c>
      <c r="G356" s="53" t="s">
        <v>45</v>
      </c>
      <c r="H356" s="54" t="s">
        <v>41</v>
      </c>
      <c r="I356" s="54">
        <v>4</v>
      </c>
      <c r="J356" s="69">
        <v>28</v>
      </c>
      <c r="K356" s="69" t="s">
        <v>1689</v>
      </c>
      <c r="L356" s="54" t="s">
        <v>63</v>
      </c>
      <c r="M356" s="70" t="s">
        <v>784</v>
      </c>
      <c r="N356" s="131" t="s">
        <v>1683</v>
      </c>
    </row>
    <row r="357" spans="1:14" ht="24" x14ac:dyDescent="0.2">
      <c r="A357" s="36">
        <v>852</v>
      </c>
      <c r="B357" s="113" t="s">
        <v>1448</v>
      </c>
      <c r="C357" s="50" t="str">
        <f>HYPERLINK("#Particularidade!"&amp;ADDRESS(MATCH(B357,Particularidade!B:B,0),2),"Ir para particularidadedes")</f>
        <v>Ir para particularidadedes</v>
      </c>
      <c r="D357" s="51" t="s">
        <v>1447</v>
      </c>
      <c r="E357" s="51"/>
      <c r="F357" s="52" t="s">
        <v>1196</v>
      </c>
      <c r="G357" s="129" t="s">
        <v>1836</v>
      </c>
      <c r="H357" s="57" t="s">
        <v>53</v>
      </c>
      <c r="I357" s="76">
        <v>2</v>
      </c>
      <c r="J357" s="77">
        <v>28</v>
      </c>
      <c r="K357" s="77"/>
      <c r="L357" s="63" t="s">
        <v>63</v>
      </c>
      <c r="M357" s="56" t="s">
        <v>124</v>
      </c>
    </row>
    <row r="358" spans="1:14" ht="36" x14ac:dyDescent="0.2">
      <c r="A358" s="36">
        <v>853</v>
      </c>
      <c r="B358" s="113" t="s">
        <v>1446</v>
      </c>
      <c r="C358" s="50" t="str">
        <f>HYPERLINK("#Particularidade!"&amp;ADDRESS(MATCH(B358,Particularidade!B:B,0),2),"Ir para particularidadedes")</f>
        <v>Ir para particularidadedes</v>
      </c>
      <c r="D358" s="51" t="s">
        <v>1445</v>
      </c>
      <c r="E358" s="51"/>
      <c r="F358" s="52" t="s">
        <v>40</v>
      </c>
      <c r="G358" s="129" t="s">
        <v>1836</v>
      </c>
      <c r="H358" s="57" t="s">
        <v>50</v>
      </c>
      <c r="I358" s="76">
        <v>1</v>
      </c>
      <c r="J358" s="77">
        <v>28</v>
      </c>
      <c r="K358" s="77"/>
      <c r="L358" s="63"/>
      <c r="M358" s="56" t="s">
        <v>1851</v>
      </c>
    </row>
    <row r="359" spans="1:14" ht="36" x14ac:dyDescent="0.2">
      <c r="A359" s="36">
        <v>854</v>
      </c>
      <c r="B359" s="113" t="s">
        <v>1444</v>
      </c>
      <c r="C359" s="50" t="str">
        <f>HYPERLINK("#Particularidade!"&amp;ADDRESS(MATCH(B359,Particularidade!B:B,0),2),"Ir para particularidadedes")</f>
        <v>Ir para particularidadedes</v>
      </c>
      <c r="D359" s="194" t="s">
        <v>1443</v>
      </c>
      <c r="E359" s="195" t="s">
        <v>1442</v>
      </c>
      <c r="F359" s="51" t="s">
        <v>614</v>
      </c>
      <c r="G359" s="141" t="s">
        <v>47</v>
      </c>
      <c r="H359" s="57" t="s">
        <v>41</v>
      </c>
      <c r="I359" s="54">
        <v>3</v>
      </c>
      <c r="J359" s="77">
        <v>28</v>
      </c>
      <c r="K359" s="77"/>
      <c r="L359" s="54" t="s">
        <v>63</v>
      </c>
      <c r="M359" s="56" t="s">
        <v>1833</v>
      </c>
      <c r="N359" s="131" t="s">
        <v>1683</v>
      </c>
    </row>
    <row r="360" spans="1:14" ht="36" x14ac:dyDescent="0.2">
      <c r="A360" s="36">
        <v>856</v>
      </c>
      <c r="B360" s="113" t="s">
        <v>1441</v>
      </c>
      <c r="C360" s="50" t="str">
        <f>HYPERLINK("#Particularidade!"&amp;ADDRESS(MATCH(B360,Particularidade!B:B,0),2),"Ir para particularidadedes")</f>
        <v>Ir para particularidadedes</v>
      </c>
      <c r="D360" s="51" t="s">
        <v>1440</v>
      </c>
      <c r="E360" s="51"/>
      <c r="F360" s="52" t="s">
        <v>1196</v>
      </c>
      <c r="G360" s="129" t="s">
        <v>1836</v>
      </c>
      <c r="H360" s="57" t="s">
        <v>50</v>
      </c>
      <c r="I360" s="76">
        <v>1</v>
      </c>
      <c r="J360" s="77"/>
      <c r="K360" s="77"/>
      <c r="L360" s="63" t="s">
        <v>63</v>
      </c>
      <c r="M360" s="56" t="s">
        <v>1850</v>
      </c>
    </row>
    <row r="361" spans="1:14" ht="48" x14ac:dyDescent="0.2">
      <c r="A361" s="36">
        <v>857</v>
      </c>
      <c r="B361" s="160" t="s">
        <v>1438</v>
      </c>
      <c r="C361" s="50" t="str">
        <f>HYPERLINK("#Particularidade!"&amp;ADDRESS(MATCH(B361,Particularidade!B:B,0),2),"Ir para particularidadedes")</f>
        <v>Ir para particularidadedes</v>
      </c>
      <c r="D361" s="51" t="s">
        <v>1439</v>
      </c>
      <c r="E361" s="51"/>
      <c r="F361" s="52" t="s">
        <v>614</v>
      </c>
      <c r="G361" s="129" t="s">
        <v>1836</v>
      </c>
      <c r="H361" s="57" t="s">
        <v>39</v>
      </c>
      <c r="I361" s="69" t="s">
        <v>57</v>
      </c>
      <c r="J361" s="77">
        <v>21</v>
      </c>
      <c r="K361" s="77"/>
      <c r="L361" s="54" t="s">
        <v>63</v>
      </c>
      <c r="M361" s="56" t="s">
        <v>208</v>
      </c>
    </row>
    <row r="362" spans="1:14" ht="48" x14ac:dyDescent="0.2">
      <c r="A362" s="36">
        <v>858</v>
      </c>
      <c r="B362" s="161" t="s">
        <v>557</v>
      </c>
      <c r="C362" s="50" t="str">
        <f>HYPERLINK("#Particularidade!"&amp;ADDRESS(MATCH(B362,Particularidade!B:B,0),2),"Ir para particularidadedes")</f>
        <v>Ir para particularidadedes</v>
      </c>
      <c r="D362" s="194" t="s">
        <v>1437</v>
      </c>
      <c r="E362" s="195" t="s">
        <v>1119</v>
      </c>
      <c r="F362" s="52" t="s">
        <v>613</v>
      </c>
      <c r="G362" s="141" t="s">
        <v>47</v>
      </c>
      <c r="H362" s="57" t="s">
        <v>41</v>
      </c>
      <c r="I362" s="77">
        <v>69</v>
      </c>
      <c r="J362" s="77">
        <v>4</v>
      </c>
      <c r="K362" s="77"/>
      <c r="L362" s="63" t="s">
        <v>63</v>
      </c>
      <c r="M362" s="56" t="s">
        <v>1832</v>
      </c>
      <c r="N362" s="131" t="s">
        <v>1683</v>
      </c>
    </row>
    <row r="363" spans="1:14" ht="24" x14ac:dyDescent="0.2">
      <c r="A363" s="36">
        <v>859</v>
      </c>
      <c r="B363" s="113" t="s">
        <v>1436</v>
      </c>
      <c r="C363" s="50" t="str">
        <f>HYPERLINK("#Particularidade!"&amp;ADDRESS(MATCH(B363,Particularidade!B:B,0),2),"Ir para particularidadedes")</f>
        <v>Ir para particularidadedes</v>
      </c>
      <c r="D363" s="51" t="s">
        <v>1435</v>
      </c>
      <c r="E363" s="51"/>
      <c r="F363" s="52" t="s">
        <v>1196</v>
      </c>
      <c r="G363" s="129" t="s">
        <v>1836</v>
      </c>
      <c r="H363" s="57" t="s">
        <v>53</v>
      </c>
      <c r="I363" s="76">
        <v>1</v>
      </c>
      <c r="J363" s="77"/>
      <c r="K363" s="77"/>
      <c r="L363" s="63" t="s">
        <v>63</v>
      </c>
      <c r="M363" s="56" t="s">
        <v>197</v>
      </c>
      <c r="N363" s="119" t="s">
        <v>1683</v>
      </c>
    </row>
    <row r="364" spans="1:14" ht="36" x14ac:dyDescent="0.2">
      <c r="A364" s="36">
        <v>799</v>
      </c>
      <c r="B364" s="120" t="s">
        <v>29</v>
      </c>
      <c r="C364" s="50" t="e">
        <f>HYPERLINK("#Particularidade!"&amp;ADDRESS(MATCH(B364,Particularidade!B:B,0),2),"Ir para particularidadedes")</f>
        <v>#N/A</v>
      </c>
      <c r="D364" s="51"/>
      <c r="E364" s="51"/>
      <c r="F364" s="51"/>
      <c r="G364" s="126" t="s">
        <v>46</v>
      </c>
      <c r="H364" s="57" t="s">
        <v>41</v>
      </c>
      <c r="I364" s="76">
        <v>2</v>
      </c>
      <c r="J364" s="77">
        <v>28</v>
      </c>
      <c r="K364" s="77" t="s">
        <v>1684</v>
      </c>
      <c r="L364" s="77" t="s">
        <v>63</v>
      </c>
      <c r="M364" s="60" t="s">
        <v>186</v>
      </c>
      <c r="N364" s="180" t="s">
        <v>1683</v>
      </c>
    </row>
    <row r="365" spans="1:14" ht="36" x14ac:dyDescent="0.2">
      <c r="A365" s="36">
        <v>861</v>
      </c>
      <c r="B365" s="162" t="s">
        <v>1432</v>
      </c>
      <c r="C365" s="50" t="str">
        <f>HYPERLINK("#Particularidade!"&amp;ADDRESS(MATCH(B365,Particularidade!B:B,0),2),"Ir para particularidadedes")</f>
        <v>Ir para particularidadedes</v>
      </c>
      <c r="D365" s="194" t="s">
        <v>1431</v>
      </c>
      <c r="E365" s="195" t="s">
        <v>1430</v>
      </c>
      <c r="F365" s="52" t="s">
        <v>613</v>
      </c>
      <c r="G365" s="141" t="s">
        <v>47</v>
      </c>
      <c r="H365" s="57" t="s">
        <v>41</v>
      </c>
      <c r="I365" s="76">
        <v>10</v>
      </c>
      <c r="J365" s="77">
        <v>11</v>
      </c>
      <c r="K365" s="77"/>
      <c r="L365" s="63" t="s">
        <v>63</v>
      </c>
      <c r="M365" s="70" t="s">
        <v>204</v>
      </c>
      <c r="N365" s="131" t="s">
        <v>1683</v>
      </c>
    </row>
    <row r="366" spans="1:14" ht="36" x14ac:dyDescent="0.2">
      <c r="A366" s="36">
        <v>863</v>
      </c>
      <c r="B366" s="113" t="s">
        <v>1429</v>
      </c>
      <c r="C366" s="50" t="e">
        <f>HYPERLINK("#Particularidade!"&amp;ADDRESS(MATCH(B366,Particularidade!B:B,0),2),"Ir para particularidadedes")</f>
        <v>#N/A</v>
      </c>
      <c r="D366" s="194" t="s">
        <v>1428</v>
      </c>
      <c r="E366" s="195" t="s">
        <v>1427</v>
      </c>
      <c r="F366" s="51" t="s">
        <v>822</v>
      </c>
      <c r="G366" s="141" t="s">
        <v>47</v>
      </c>
      <c r="H366" s="57" t="s">
        <v>41</v>
      </c>
      <c r="I366" s="76">
        <v>1</v>
      </c>
      <c r="J366" s="77">
        <v>3</v>
      </c>
      <c r="K366" s="77"/>
      <c r="L366" s="63" t="s">
        <v>63</v>
      </c>
      <c r="M366" s="70" t="s">
        <v>230</v>
      </c>
      <c r="N366" s="131" t="s">
        <v>1683</v>
      </c>
    </row>
    <row r="367" spans="1:14" ht="48" x14ac:dyDescent="0.2">
      <c r="A367" s="36">
        <v>862</v>
      </c>
      <c r="B367" s="163" t="s">
        <v>560</v>
      </c>
      <c r="C367" s="50" t="str">
        <f>HYPERLINK("#Particularidade!"&amp;ADDRESS(MATCH(B367,Particularidade!B:B,0),2),"Ir para particularidadedes")</f>
        <v>Ir para particularidadedes</v>
      </c>
      <c r="D367" s="194" t="s">
        <v>1426</v>
      </c>
      <c r="E367" s="195" t="s">
        <v>1425</v>
      </c>
      <c r="F367" s="52" t="s">
        <v>822</v>
      </c>
      <c r="G367" s="141" t="s">
        <v>47</v>
      </c>
      <c r="H367" s="57" t="s">
        <v>41</v>
      </c>
      <c r="I367" s="76">
        <v>18</v>
      </c>
      <c r="J367" s="77">
        <v>3</v>
      </c>
      <c r="K367" s="77"/>
      <c r="L367" s="63" t="s">
        <v>63</v>
      </c>
      <c r="M367" s="56" t="s">
        <v>211</v>
      </c>
      <c r="N367" s="131" t="s">
        <v>1683</v>
      </c>
    </row>
    <row r="368" spans="1:14" ht="48" x14ac:dyDescent="0.2">
      <c r="A368" s="36">
        <v>864</v>
      </c>
      <c r="B368" s="114" t="s">
        <v>1423</v>
      </c>
      <c r="C368" s="50" t="str">
        <f>HYPERLINK("#Particularidade!"&amp;ADDRESS(MATCH(B368,Particularidade!B:B,0),2),"Ir para particularidadedes")</f>
        <v>Ir para particularidadedes</v>
      </c>
      <c r="D368" s="51" t="s">
        <v>1424</v>
      </c>
      <c r="E368" s="51"/>
      <c r="F368" s="51" t="s">
        <v>614</v>
      </c>
      <c r="G368" s="129" t="s">
        <v>1836</v>
      </c>
      <c r="H368" s="57" t="s">
        <v>52</v>
      </c>
      <c r="I368" s="77">
        <v>0</v>
      </c>
      <c r="J368" s="77">
        <v>21</v>
      </c>
      <c r="K368" s="77"/>
      <c r="L368" s="63"/>
      <c r="M368" s="56" t="s">
        <v>202</v>
      </c>
    </row>
    <row r="369" spans="1:14" ht="48" x14ac:dyDescent="0.2">
      <c r="A369" s="36">
        <v>865</v>
      </c>
      <c r="B369" s="113" t="s">
        <v>561</v>
      </c>
      <c r="C369" s="50" t="str">
        <f>HYPERLINK("#Particularidade!"&amp;ADDRESS(MATCH(B369,Particularidade!B:B,0),2),"Ir para particularidadedes")</f>
        <v>Ir para particularidadedes</v>
      </c>
      <c r="D369" s="194" t="s">
        <v>1421</v>
      </c>
      <c r="E369" s="195" t="s">
        <v>1422</v>
      </c>
      <c r="F369" s="52" t="s">
        <v>613</v>
      </c>
      <c r="G369" s="141" t="s">
        <v>47</v>
      </c>
      <c r="H369" s="57" t="s">
        <v>41</v>
      </c>
      <c r="I369" s="76">
        <v>16</v>
      </c>
      <c r="J369" s="77">
        <v>3</v>
      </c>
      <c r="K369" s="77"/>
      <c r="L369" s="63" t="s">
        <v>63</v>
      </c>
      <c r="M369" s="56" t="s">
        <v>212</v>
      </c>
      <c r="N369" s="131" t="s">
        <v>1683</v>
      </c>
    </row>
    <row r="370" spans="1:14" ht="36" x14ac:dyDescent="0.2">
      <c r="A370" s="36">
        <v>866</v>
      </c>
      <c r="B370" s="115" t="s">
        <v>1419</v>
      </c>
      <c r="C370" s="50" t="str">
        <f>HYPERLINK("#Particularidade!"&amp;ADDRESS(MATCH(B370,Particularidade!B:B,0),2),"Ir para particularidadedes")</f>
        <v>Ir para particularidadedes</v>
      </c>
      <c r="D370" s="51" t="s">
        <v>1420</v>
      </c>
      <c r="E370" s="51"/>
      <c r="F370" s="51" t="s">
        <v>614</v>
      </c>
      <c r="G370" s="53" t="s">
        <v>45</v>
      </c>
      <c r="H370" s="83" t="s">
        <v>50</v>
      </c>
      <c r="I370" s="77"/>
      <c r="J370" s="77"/>
      <c r="K370" s="77"/>
      <c r="L370" s="63"/>
      <c r="M370" s="56" t="s">
        <v>213</v>
      </c>
    </row>
    <row r="371" spans="1:14" ht="36" x14ac:dyDescent="0.2">
      <c r="A371" s="37">
        <v>599</v>
      </c>
      <c r="B371" s="36" t="s">
        <v>506</v>
      </c>
      <c r="C371" s="50" t="str">
        <f>HYPERLINK("#Particularidade!"&amp;ADDRESS(MATCH(B371,Particularidade!B:B,0),2),"Ir para particularidadedes")</f>
        <v>Ir para particularidadedes</v>
      </c>
      <c r="D371" s="51" t="s">
        <v>1341</v>
      </c>
      <c r="E371" s="51" t="s">
        <v>1338</v>
      </c>
      <c r="F371" s="52" t="s">
        <v>613</v>
      </c>
      <c r="G371" s="53" t="s">
        <v>45</v>
      </c>
      <c r="H371" s="57" t="s">
        <v>41</v>
      </c>
      <c r="I371" s="54">
        <v>3</v>
      </c>
      <c r="J371" s="57">
        <v>30</v>
      </c>
      <c r="K371" s="57" t="s">
        <v>1689</v>
      </c>
      <c r="L371" s="57" t="s">
        <v>63</v>
      </c>
      <c r="M371" s="56" t="s">
        <v>634</v>
      </c>
      <c r="N371" s="131" t="s">
        <v>1684</v>
      </c>
    </row>
    <row r="372" spans="1:14" ht="48" x14ac:dyDescent="0.2">
      <c r="A372" s="36">
        <v>870</v>
      </c>
      <c r="B372" s="115" t="s">
        <v>1415</v>
      </c>
      <c r="C372" s="50" t="str">
        <f>HYPERLINK("#Particularidade!"&amp;ADDRESS(MATCH(B372,Particularidade!B:B,0),2),"Ir para particularidadedes")</f>
        <v>Ir para particularidadedes</v>
      </c>
      <c r="D372" s="51" t="s">
        <v>1416</v>
      </c>
      <c r="E372" s="51"/>
      <c r="F372" s="52" t="s">
        <v>613</v>
      </c>
      <c r="G372" s="129" t="s">
        <v>1836</v>
      </c>
      <c r="H372" s="57" t="s">
        <v>39</v>
      </c>
      <c r="I372" s="69" t="s">
        <v>57</v>
      </c>
      <c r="J372" s="77">
        <v>21</v>
      </c>
      <c r="K372" s="77"/>
      <c r="L372" s="54" t="s">
        <v>63</v>
      </c>
      <c r="M372" s="56" t="s">
        <v>202</v>
      </c>
    </row>
    <row r="373" spans="1:14" ht="48" x14ac:dyDescent="0.2">
      <c r="A373" s="36">
        <v>871</v>
      </c>
      <c r="B373" s="115" t="s">
        <v>1413</v>
      </c>
      <c r="C373" s="50" t="str">
        <f>HYPERLINK("#Particularidade!"&amp;ADDRESS(MATCH(B373,Particularidade!B:B,0),2),"Ir para particularidadedes")</f>
        <v>Ir para particularidadedes</v>
      </c>
      <c r="D373" s="51" t="s">
        <v>1414</v>
      </c>
      <c r="E373" s="51"/>
      <c r="F373" s="52" t="s">
        <v>613</v>
      </c>
      <c r="G373" s="129" t="s">
        <v>1836</v>
      </c>
      <c r="H373" s="57" t="s">
        <v>39</v>
      </c>
      <c r="I373" s="69" t="s">
        <v>57</v>
      </c>
      <c r="J373" s="77">
        <v>21</v>
      </c>
      <c r="K373" s="77"/>
      <c r="L373" s="54" t="s">
        <v>63</v>
      </c>
      <c r="M373" s="56" t="s">
        <v>202</v>
      </c>
    </row>
    <row r="374" spans="1:14" x14ac:dyDescent="0.2">
      <c r="A374" s="36">
        <v>872</v>
      </c>
      <c r="B374" s="115" t="s">
        <v>1412</v>
      </c>
      <c r="C374" s="50" t="str">
        <f>HYPERLINK("#Particularidade!"&amp;ADDRESS(MATCH(B374,Particularidade!B:B,0),2),"Ir para particularidadedes")</f>
        <v>Ir para particularidadedes</v>
      </c>
      <c r="D374" s="51" t="s">
        <v>1411</v>
      </c>
      <c r="E374" s="51"/>
      <c r="F374" s="52" t="s">
        <v>613</v>
      </c>
      <c r="G374" s="143" t="s">
        <v>46</v>
      </c>
      <c r="H374" s="57" t="s">
        <v>52</v>
      </c>
      <c r="I374" s="77"/>
      <c r="J374" s="77"/>
      <c r="K374" s="77"/>
      <c r="L374" s="63"/>
      <c r="M374" s="56" t="s">
        <v>214</v>
      </c>
    </row>
    <row r="375" spans="1:14" ht="36" x14ac:dyDescent="0.2">
      <c r="A375" s="36">
        <v>873</v>
      </c>
      <c r="B375" s="115" t="s">
        <v>1409</v>
      </c>
      <c r="C375" s="50" t="str">
        <f>HYPERLINK("#Particularidade!"&amp;ADDRESS(MATCH(B375,Particularidade!B:B,0),2),"Ir para particularidadedes")</f>
        <v>Ir para particularidadedes</v>
      </c>
      <c r="D375" s="51" t="s">
        <v>1410</v>
      </c>
      <c r="E375" s="51"/>
      <c r="F375" s="52" t="s">
        <v>613</v>
      </c>
      <c r="G375" s="129" t="s">
        <v>1836</v>
      </c>
      <c r="H375" s="57" t="s">
        <v>39</v>
      </c>
      <c r="I375" s="69" t="s">
        <v>57</v>
      </c>
      <c r="J375" s="77">
        <v>21</v>
      </c>
      <c r="K375" s="77"/>
      <c r="L375" s="54" t="s">
        <v>63</v>
      </c>
      <c r="M375" s="56" t="s">
        <v>215</v>
      </c>
    </row>
    <row r="376" spans="1:14" ht="48" x14ac:dyDescent="0.2">
      <c r="A376" s="36">
        <v>874</v>
      </c>
      <c r="B376" s="115" t="s">
        <v>1407</v>
      </c>
      <c r="C376" s="50" t="str">
        <f>HYPERLINK("#Particularidade!"&amp;ADDRESS(MATCH(B376,Particularidade!B:B,0),2),"Ir para particularidadedes")</f>
        <v>Ir para particularidadedes</v>
      </c>
      <c r="D376" s="51" t="s">
        <v>1408</v>
      </c>
      <c r="E376" s="51"/>
      <c r="F376" s="52" t="s">
        <v>614</v>
      </c>
      <c r="G376" s="129" t="s">
        <v>1836</v>
      </c>
      <c r="H376" s="57" t="s">
        <v>52</v>
      </c>
      <c r="I376" s="69" t="s">
        <v>57</v>
      </c>
      <c r="J376" s="77">
        <v>21</v>
      </c>
      <c r="K376" s="77"/>
      <c r="L376" s="54" t="s">
        <v>63</v>
      </c>
      <c r="M376" s="56" t="s">
        <v>1765</v>
      </c>
    </row>
    <row r="377" spans="1:14" ht="48" x14ac:dyDescent="0.2">
      <c r="A377" s="36">
        <v>875</v>
      </c>
      <c r="B377" s="115" t="s">
        <v>1405</v>
      </c>
      <c r="C377" s="50" t="str">
        <f>HYPERLINK("#Particularidade!"&amp;ADDRESS(MATCH(B377,Particularidade!B:B,0),2),"Ir para particularidadedes")</f>
        <v>Ir para particularidadedes</v>
      </c>
      <c r="D377" s="51" t="s">
        <v>1406</v>
      </c>
      <c r="E377" s="51"/>
      <c r="F377" s="52" t="s">
        <v>613</v>
      </c>
      <c r="G377" s="129" t="s">
        <v>1836</v>
      </c>
      <c r="H377" s="57" t="s">
        <v>39</v>
      </c>
      <c r="I377" s="69" t="s">
        <v>57</v>
      </c>
      <c r="J377" s="77">
        <v>21</v>
      </c>
      <c r="K377" s="77"/>
      <c r="L377" s="54" t="s">
        <v>63</v>
      </c>
      <c r="M377" s="56" t="s">
        <v>202</v>
      </c>
    </row>
    <row r="378" spans="1:14" ht="48" x14ac:dyDescent="0.2">
      <c r="A378" s="36">
        <v>877</v>
      </c>
      <c r="B378" s="115" t="s">
        <v>1403</v>
      </c>
      <c r="C378" s="50" t="str">
        <f>HYPERLINK("#Particularidade!"&amp;ADDRESS(MATCH(B378,Particularidade!B:B,0),2),"Ir para particularidadedes")</f>
        <v>Ir para particularidadedes</v>
      </c>
      <c r="D378" s="51" t="s">
        <v>1404</v>
      </c>
      <c r="E378" s="51"/>
      <c r="F378" s="52" t="s">
        <v>613</v>
      </c>
      <c r="G378" s="129" t="s">
        <v>1836</v>
      </c>
      <c r="H378" s="57" t="s">
        <v>39</v>
      </c>
      <c r="I378" s="69" t="s">
        <v>57</v>
      </c>
      <c r="J378" s="77">
        <v>21</v>
      </c>
      <c r="K378" s="77"/>
      <c r="L378" s="54" t="s">
        <v>63</v>
      </c>
      <c r="M378" s="56" t="s">
        <v>202</v>
      </c>
    </row>
    <row r="379" spans="1:14" ht="48" x14ac:dyDescent="0.2">
      <c r="A379" s="36">
        <v>878</v>
      </c>
      <c r="B379" s="115" t="s">
        <v>1401</v>
      </c>
      <c r="C379" s="50" t="str">
        <f>HYPERLINK("#Particularidade!"&amp;ADDRESS(MATCH(B379,Particularidade!B:B,0),2),"Ir para particularidadedes")</f>
        <v>Ir para particularidadedes</v>
      </c>
      <c r="D379" s="51" t="s">
        <v>1402</v>
      </c>
      <c r="E379" s="51"/>
      <c r="F379" s="52" t="s">
        <v>613</v>
      </c>
      <c r="G379" s="129" t="s">
        <v>1836</v>
      </c>
      <c r="H379" s="57" t="s">
        <v>39</v>
      </c>
      <c r="I379" s="69" t="s">
        <v>57</v>
      </c>
      <c r="J379" s="77">
        <v>21</v>
      </c>
      <c r="K379" s="77"/>
      <c r="L379" s="54" t="s">
        <v>63</v>
      </c>
      <c r="M379" s="56" t="s">
        <v>216</v>
      </c>
    </row>
    <row r="380" spans="1:14" ht="36" x14ac:dyDescent="0.2">
      <c r="A380" s="37">
        <v>749</v>
      </c>
      <c r="B380" s="36" t="s">
        <v>1503</v>
      </c>
      <c r="C380" s="50" t="str">
        <f>HYPERLINK("#Particularidade!"&amp;ADDRESS(MATCH(B380,Particularidade!B:B,0),2),"Ir para particularidadedes")</f>
        <v>Ir para particularidadedes</v>
      </c>
      <c r="D380" s="51" t="s">
        <v>1502</v>
      </c>
      <c r="E380" s="51" t="s">
        <v>971</v>
      </c>
      <c r="F380" s="52" t="s">
        <v>613</v>
      </c>
      <c r="G380" s="53" t="s">
        <v>45</v>
      </c>
      <c r="H380" s="57" t="s">
        <v>41</v>
      </c>
      <c r="I380" s="36">
        <v>1</v>
      </c>
      <c r="J380" s="57">
        <v>28</v>
      </c>
      <c r="K380" s="57" t="s">
        <v>1684</v>
      </c>
      <c r="L380" s="63" t="s">
        <v>63</v>
      </c>
      <c r="M380" s="60" t="s">
        <v>1722</v>
      </c>
      <c r="N380" s="131" t="s">
        <v>1687</v>
      </c>
    </row>
    <row r="381" spans="1:14" ht="48" x14ac:dyDescent="0.2">
      <c r="A381" s="37">
        <v>881</v>
      </c>
      <c r="B381" s="36" t="s">
        <v>1398</v>
      </c>
      <c r="C381" s="50" t="str">
        <f>HYPERLINK("#Particularidade!"&amp;ADDRESS(MATCH(B381,Particularidade!B:B,0),2),"Ir para particularidadedes")</f>
        <v>Ir para particularidadedes</v>
      </c>
      <c r="D381" s="51" t="s">
        <v>1399</v>
      </c>
      <c r="E381" s="51"/>
      <c r="F381" s="52" t="s">
        <v>613</v>
      </c>
      <c r="G381" s="129" t="s">
        <v>1836</v>
      </c>
      <c r="H381" s="57" t="s">
        <v>50</v>
      </c>
      <c r="I381" s="57" t="s">
        <v>57</v>
      </c>
      <c r="J381" s="57">
        <v>21</v>
      </c>
      <c r="K381" s="57"/>
      <c r="L381" s="55" t="s">
        <v>63</v>
      </c>
      <c r="M381" s="56" t="s">
        <v>1766</v>
      </c>
    </row>
    <row r="382" spans="1:14" ht="48" x14ac:dyDescent="0.2">
      <c r="A382" s="37">
        <v>882</v>
      </c>
      <c r="B382" s="36" t="s">
        <v>1396</v>
      </c>
      <c r="C382" s="50" t="str">
        <f>HYPERLINK("#Particularidade!"&amp;ADDRESS(MATCH(B382,Particularidade!B:B,0),2),"Ir para particularidadedes")</f>
        <v>Ir para particularidadedes</v>
      </c>
      <c r="D382" s="51" t="s">
        <v>1397</v>
      </c>
      <c r="E382" s="51"/>
      <c r="F382" s="52" t="s">
        <v>613</v>
      </c>
      <c r="G382" s="129" t="s">
        <v>1836</v>
      </c>
      <c r="H382" s="57" t="s">
        <v>39</v>
      </c>
      <c r="I382" s="57" t="s">
        <v>57</v>
      </c>
      <c r="J382" s="57">
        <v>21</v>
      </c>
      <c r="K382" s="57"/>
      <c r="L382" s="55" t="s">
        <v>63</v>
      </c>
      <c r="M382" s="56" t="s">
        <v>217</v>
      </c>
    </row>
    <row r="383" spans="1:14" ht="36" x14ac:dyDescent="0.2">
      <c r="A383" s="37">
        <v>884</v>
      </c>
      <c r="B383" s="36" t="s">
        <v>34</v>
      </c>
      <c r="C383" s="50" t="str">
        <f>HYPERLINK("#Particularidade!"&amp;ADDRESS(MATCH(B383,Particularidade!B:B,0),2),"Ir para particularidadedes")</f>
        <v>Ir para particularidadedes</v>
      </c>
      <c r="D383" s="51" t="s">
        <v>1395</v>
      </c>
      <c r="E383" s="51"/>
      <c r="F383" s="52" t="s">
        <v>613</v>
      </c>
      <c r="G383" s="129" t="s">
        <v>1836</v>
      </c>
      <c r="H383" s="57" t="s">
        <v>39</v>
      </c>
      <c r="I383" s="57" t="s">
        <v>57</v>
      </c>
      <c r="J383" s="57">
        <v>21</v>
      </c>
      <c r="K383" s="57"/>
      <c r="L383" s="55" t="s">
        <v>63</v>
      </c>
      <c r="M383" s="56" t="s">
        <v>668</v>
      </c>
    </row>
    <row r="384" spans="1:14" ht="36" x14ac:dyDescent="0.2">
      <c r="A384" s="37">
        <v>266</v>
      </c>
      <c r="B384" s="36" t="s">
        <v>972</v>
      </c>
      <c r="C384" s="50" t="str">
        <f>HYPERLINK("#Particularidade!"&amp;ADDRESS(MATCH(B384,Particularidade!B:B,0),2),"Ir para particularidadedes")</f>
        <v>Ir para particularidadedes</v>
      </c>
      <c r="D384" s="51" t="s">
        <v>970</v>
      </c>
      <c r="E384" s="51" t="s">
        <v>971</v>
      </c>
      <c r="F384" s="52" t="s">
        <v>613</v>
      </c>
      <c r="G384" s="53" t="s">
        <v>45</v>
      </c>
      <c r="H384" s="57" t="s">
        <v>41</v>
      </c>
      <c r="I384" s="54">
        <v>1</v>
      </c>
      <c r="J384" s="54">
        <v>28</v>
      </c>
      <c r="K384" s="54" t="s">
        <v>1689</v>
      </c>
      <c r="L384" s="63" t="s">
        <v>63</v>
      </c>
      <c r="M384" s="60" t="s">
        <v>657</v>
      </c>
      <c r="N384" s="131" t="s">
        <v>1687</v>
      </c>
    </row>
    <row r="385" spans="1:14" ht="48" x14ac:dyDescent="0.2">
      <c r="A385" s="37">
        <v>887</v>
      </c>
      <c r="B385" s="36" t="s">
        <v>1391</v>
      </c>
      <c r="C385" s="50" t="str">
        <f>HYPERLINK("#Particularidade!"&amp;ADDRESS(MATCH(B385,Particularidade!B:B,0),2),"Ir para particularidadedes")</f>
        <v>Ir para particularidadedes</v>
      </c>
      <c r="D385" s="51" t="s">
        <v>1392</v>
      </c>
      <c r="E385" s="51"/>
      <c r="F385" s="52" t="s">
        <v>613</v>
      </c>
      <c r="G385" s="129" t="s">
        <v>1836</v>
      </c>
      <c r="H385" s="57" t="s">
        <v>39</v>
      </c>
      <c r="I385" s="57" t="s">
        <v>57</v>
      </c>
      <c r="J385" s="57">
        <v>21</v>
      </c>
      <c r="K385" s="57"/>
      <c r="L385" s="55" t="s">
        <v>63</v>
      </c>
      <c r="M385" s="56" t="s">
        <v>218</v>
      </c>
    </row>
    <row r="386" spans="1:14" ht="36" x14ac:dyDescent="0.2">
      <c r="A386" s="37">
        <v>888</v>
      </c>
      <c r="B386" s="36" t="s">
        <v>1389</v>
      </c>
      <c r="C386" s="50" t="str">
        <f>HYPERLINK("#Particularidade!"&amp;ADDRESS(MATCH(B386,Particularidade!B:B,0),2),"Ir para particularidadedes")</f>
        <v>Ir para particularidadedes</v>
      </c>
      <c r="D386" s="51" t="s">
        <v>1390</v>
      </c>
      <c r="E386" s="51"/>
      <c r="F386" s="52" t="s">
        <v>613</v>
      </c>
      <c r="G386" s="129" t="s">
        <v>1836</v>
      </c>
      <c r="H386" s="57" t="s">
        <v>39</v>
      </c>
      <c r="I386" s="57" t="s">
        <v>57</v>
      </c>
      <c r="J386" s="57">
        <v>21</v>
      </c>
      <c r="K386" s="57"/>
      <c r="L386" s="55" t="s">
        <v>63</v>
      </c>
      <c r="M386" s="70" t="s">
        <v>1855</v>
      </c>
    </row>
    <row r="387" spans="1:14" ht="36" x14ac:dyDescent="0.2">
      <c r="A387" s="37">
        <v>889</v>
      </c>
      <c r="B387" s="36" t="s">
        <v>1387</v>
      </c>
      <c r="C387" s="50" t="str">
        <f>HYPERLINK("#Particularidade!"&amp;ADDRESS(MATCH(B387,Particularidade!B:B,0),2),"Ir para particularidadedes")</f>
        <v>Ir para particularidadedes</v>
      </c>
      <c r="D387" s="51" t="s">
        <v>1388</v>
      </c>
      <c r="E387" s="51"/>
      <c r="F387" s="52" t="s">
        <v>613</v>
      </c>
      <c r="G387" s="129" t="s">
        <v>46</v>
      </c>
      <c r="H387" s="57" t="s">
        <v>52</v>
      </c>
      <c r="I387" s="57"/>
      <c r="J387" s="57">
        <v>28</v>
      </c>
      <c r="K387" s="57"/>
      <c r="L387" s="55"/>
      <c r="M387" s="56" t="s">
        <v>220</v>
      </c>
    </row>
    <row r="388" spans="1:14" ht="36" x14ac:dyDescent="0.2">
      <c r="A388" s="37">
        <v>891</v>
      </c>
      <c r="B388" s="36" t="s">
        <v>1386</v>
      </c>
      <c r="C388" s="50" t="str">
        <f>HYPERLINK("#Particularidade!"&amp;ADDRESS(MATCH(B388,Particularidade!B:B,0),2),"Ir para particularidadedes")</f>
        <v>Ir para particularidadedes</v>
      </c>
      <c r="D388" s="51" t="s">
        <v>1385</v>
      </c>
      <c r="E388" s="51"/>
      <c r="F388" s="52" t="s">
        <v>40</v>
      </c>
      <c r="G388" s="53" t="s">
        <v>45</v>
      </c>
      <c r="H388" s="57" t="s">
        <v>50</v>
      </c>
      <c r="I388" s="57"/>
      <c r="J388" s="57"/>
      <c r="K388" s="57"/>
      <c r="L388" s="55"/>
      <c r="M388" s="56" t="s">
        <v>779</v>
      </c>
    </row>
    <row r="389" spans="1:14" ht="48" x14ac:dyDescent="0.2">
      <c r="A389" s="37">
        <v>892</v>
      </c>
      <c r="B389" s="36" t="s">
        <v>1384</v>
      </c>
      <c r="C389" s="50" t="str">
        <f>HYPERLINK("#Particularidade!"&amp;ADDRESS(MATCH(B389,Particularidade!B:B,0),2),"Ir para particularidadedes")</f>
        <v>Ir para particularidadedes</v>
      </c>
      <c r="D389" s="51" t="s">
        <v>1383</v>
      </c>
      <c r="E389" s="51"/>
      <c r="F389" s="52" t="s">
        <v>40</v>
      </c>
      <c r="G389" s="129" t="s">
        <v>1836</v>
      </c>
      <c r="H389" s="57" t="s">
        <v>59</v>
      </c>
      <c r="I389" s="37">
        <v>0</v>
      </c>
      <c r="J389" s="57">
        <v>30</v>
      </c>
      <c r="K389" s="57"/>
      <c r="L389" s="37" t="s">
        <v>63</v>
      </c>
      <c r="M389" s="60" t="s">
        <v>1849</v>
      </c>
    </row>
    <row r="390" spans="1:14" ht="48" x14ac:dyDescent="0.2">
      <c r="A390" s="37">
        <v>893</v>
      </c>
      <c r="B390" s="36" t="s">
        <v>1308</v>
      </c>
      <c r="C390" s="50" t="str">
        <f>HYPERLINK("#Particularidade!"&amp;ADDRESS(MATCH(B390,Particularidade!B:B,0),2),"Ir para particularidadedes")</f>
        <v>Ir para particularidadedes</v>
      </c>
      <c r="D390" s="51" t="s">
        <v>1309</v>
      </c>
      <c r="E390" s="51"/>
      <c r="F390" s="52" t="s">
        <v>613</v>
      </c>
      <c r="G390" s="129" t="s">
        <v>1836</v>
      </c>
      <c r="H390" s="57" t="s">
        <v>39</v>
      </c>
      <c r="I390" s="57" t="s">
        <v>57</v>
      </c>
      <c r="J390" s="57">
        <v>21</v>
      </c>
      <c r="K390" s="57"/>
      <c r="L390" s="55" t="s">
        <v>63</v>
      </c>
      <c r="M390" s="56" t="s">
        <v>219</v>
      </c>
    </row>
    <row r="391" spans="1:14" ht="36" x14ac:dyDescent="0.2">
      <c r="A391" s="37">
        <v>895</v>
      </c>
      <c r="B391" s="36" t="s">
        <v>35</v>
      </c>
      <c r="C391" s="50" t="str">
        <f>HYPERLINK("#Particularidade!"&amp;ADDRESS(MATCH(B391,Particularidade!B:B,0),2),"Ir para particularidadedes")</f>
        <v>Ir para particularidadedes</v>
      </c>
      <c r="D391" s="51" t="s">
        <v>1307</v>
      </c>
      <c r="E391" s="51"/>
      <c r="F391" s="51" t="s">
        <v>613</v>
      </c>
      <c r="G391" s="126" t="s">
        <v>46</v>
      </c>
      <c r="H391" s="57" t="s">
        <v>41</v>
      </c>
      <c r="I391" s="54">
        <v>12</v>
      </c>
      <c r="J391" s="57">
        <v>3</v>
      </c>
      <c r="K391" s="57"/>
      <c r="L391" s="55" t="s">
        <v>63</v>
      </c>
      <c r="M391" s="56" t="s">
        <v>647</v>
      </c>
      <c r="N391" s="131"/>
    </row>
    <row r="392" spans="1:14" ht="60" x14ac:dyDescent="0.2">
      <c r="A392" s="37">
        <v>894</v>
      </c>
      <c r="B392" s="36" t="s">
        <v>1306</v>
      </c>
      <c r="C392" s="50" t="str">
        <f>HYPERLINK("#Particularidade!"&amp;ADDRESS(MATCH(B392,Particularidade!B:B,0),2),"Ir para particularidadedes")</f>
        <v>Ir para particularidadedes</v>
      </c>
      <c r="D392" s="51" t="s">
        <v>1305</v>
      </c>
      <c r="E392" s="51"/>
      <c r="F392" s="52" t="s">
        <v>613</v>
      </c>
      <c r="G392" s="129" t="s">
        <v>1836</v>
      </c>
      <c r="H392" s="57" t="s">
        <v>792</v>
      </c>
      <c r="I392" s="57" t="s">
        <v>57</v>
      </c>
      <c r="J392" s="57">
        <v>21</v>
      </c>
      <c r="K392" s="57"/>
      <c r="L392" s="55"/>
      <c r="M392" s="56" t="s">
        <v>1859</v>
      </c>
    </row>
    <row r="393" spans="1:14" ht="72" x14ac:dyDescent="0.2">
      <c r="A393" s="89">
        <v>1077</v>
      </c>
      <c r="B393" s="36" t="s">
        <v>1261</v>
      </c>
      <c r="C393" s="50" t="str">
        <f>HYPERLINK("#Particularidade!"&amp;ADDRESS(MATCH(B393,Particularidade!B:B,0),2),"Ir para particularidadedes")</f>
        <v>Ir para particularidadedes</v>
      </c>
      <c r="D393" s="51" t="s">
        <v>1262</v>
      </c>
      <c r="E393" s="51" t="s">
        <v>1260</v>
      </c>
      <c r="F393" s="51" t="s">
        <v>617</v>
      </c>
      <c r="G393" s="53" t="s">
        <v>45</v>
      </c>
      <c r="H393" s="57" t="s">
        <v>41</v>
      </c>
      <c r="I393" s="54">
        <v>2</v>
      </c>
      <c r="J393" s="54">
        <v>28</v>
      </c>
      <c r="K393" s="54" t="s">
        <v>1689</v>
      </c>
      <c r="L393" s="54" t="s">
        <v>63</v>
      </c>
      <c r="M393" s="56" t="s">
        <v>226</v>
      </c>
      <c r="N393" s="131" t="s">
        <v>1687</v>
      </c>
    </row>
    <row r="394" spans="1:14" ht="36" x14ac:dyDescent="0.2">
      <c r="A394" s="37">
        <v>886</v>
      </c>
      <c r="B394" s="36" t="s">
        <v>1303</v>
      </c>
      <c r="C394" s="50" t="str">
        <f>HYPERLINK("#Particularidade!"&amp;ADDRESS(MATCH(B394,Particularidade!B:B,0),2),"Ir para particularidadedes")</f>
        <v>Ir para particularidadedes</v>
      </c>
      <c r="D394" s="51" t="s">
        <v>1302</v>
      </c>
      <c r="E394" s="51"/>
      <c r="F394" s="52" t="s">
        <v>1196</v>
      </c>
      <c r="G394" s="129" t="s">
        <v>1836</v>
      </c>
      <c r="H394" s="57" t="s">
        <v>53</v>
      </c>
      <c r="I394" s="36">
        <v>1</v>
      </c>
      <c r="J394" s="57">
        <v>28</v>
      </c>
      <c r="K394" s="57"/>
      <c r="L394" s="55" t="s">
        <v>63</v>
      </c>
      <c r="M394" s="60" t="s">
        <v>1710</v>
      </c>
      <c r="N394" s="119" t="s">
        <v>1683</v>
      </c>
    </row>
    <row r="395" spans="1:14" ht="36" x14ac:dyDescent="0.2">
      <c r="A395" s="37">
        <v>898</v>
      </c>
      <c r="B395" s="36" t="s">
        <v>1300</v>
      </c>
      <c r="C395" s="50" t="str">
        <f>HYPERLINK("#Particularidade!"&amp;ADDRESS(MATCH(B395,Particularidade!B:B,0),2),"Ir para particularidadedes")</f>
        <v>Ir para particularidadedes</v>
      </c>
      <c r="D395" s="51" t="s">
        <v>1301</v>
      </c>
      <c r="E395" s="51"/>
      <c r="F395" s="52" t="s">
        <v>613</v>
      </c>
      <c r="G395" s="129" t="s">
        <v>1836</v>
      </c>
      <c r="H395" s="57" t="s">
        <v>39</v>
      </c>
      <c r="I395" s="37" t="s">
        <v>57</v>
      </c>
      <c r="J395" s="57">
        <v>21</v>
      </c>
      <c r="K395" s="57"/>
      <c r="L395" s="55" t="s">
        <v>63</v>
      </c>
      <c r="M395" s="56" t="s">
        <v>221</v>
      </c>
    </row>
    <row r="396" spans="1:14" ht="36" x14ac:dyDescent="0.2">
      <c r="A396" s="37">
        <v>902</v>
      </c>
      <c r="B396" s="36" t="s">
        <v>1298</v>
      </c>
      <c r="C396" s="50" t="str">
        <f>HYPERLINK("#Particularidade!"&amp;ADDRESS(MATCH(B396,Particularidade!B:B,0),2),"Ir para particularidadedes")</f>
        <v>Ir para particularidadedes</v>
      </c>
      <c r="D396" s="51" t="s">
        <v>1299</v>
      </c>
      <c r="E396" s="51"/>
      <c r="F396" s="51" t="s">
        <v>614</v>
      </c>
      <c r="G396" s="126" t="s">
        <v>46</v>
      </c>
      <c r="H396" s="57" t="s">
        <v>41</v>
      </c>
      <c r="I396" s="36">
        <v>4</v>
      </c>
      <c r="J396" s="57">
        <v>30</v>
      </c>
      <c r="K396" s="57"/>
      <c r="L396" s="55" t="s">
        <v>63</v>
      </c>
      <c r="M396" s="56" t="s">
        <v>648</v>
      </c>
      <c r="N396" s="131" t="s">
        <v>1683</v>
      </c>
    </row>
    <row r="397" spans="1:14" ht="48" x14ac:dyDescent="0.2">
      <c r="A397" s="36">
        <v>227</v>
      </c>
      <c r="B397" s="36" t="s">
        <v>936</v>
      </c>
      <c r="C397" s="50" t="str">
        <f>HYPERLINK("#Particularidade!"&amp;ADDRESS(MATCH(B397,Particularidade!B:B,0),2),"Ir para particularidadedes")</f>
        <v>Ir para particularidadedes</v>
      </c>
      <c r="D397" s="51" t="s">
        <v>935</v>
      </c>
      <c r="E397" s="51" t="s">
        <v>934</v>
      </c>
      <c r="F397" s="52" t="s">
        <v>613</v>
      </c>
      <c r="G397" s="53" t="s">
        <v>45</v>
      </c>
      <c r="H397" s="57" t="s">
        <v>41</v>
      </c>
      <c r="I397" s="54">
        <v>1</v>
      </c>
      <c r="J397" s="57">
        <v>28</v>
      </c>
      <c r="K397" s="57" t="s">
        <v>1689</v>
      </c>
      <c r="L397" s="54" t="s">
        <v>63</v>
      </c>
      <c r="M397" s="58" t="s">
        <v>624</v>
      </c>
      <c r="N397" s="131" t="s">
        <v>1683</v>
      </c>
    </row>
    <row r="398" spans="1:14" ht="60" x14ac:dyDescent="0.2">
      <c r="A398" s="36">
        <v>906</v>
      </c>
      <c r="B398" s="115" t="s">
        <v>1293</v>
      </c>
      <c r="C398" s="50"/>
      <c r="D398" s="51" t="s">
        <v>1294</v>
      </c>
      <c r="E398" s="51"/>
      <c r="F398" s="52" t="s">
        <v>613</v>
      </c>
      <c r="G398" s="129" t="s">
        <v>1836</v>
      </c>
      <c r="H398" s="57" t="s">
        <v>792</v>
      </c>
      <c r="I398" s="77" t="s">
        <v>57</v>
      </c>
      <c r="J398" s="77">
        <v>21</v>
      </c>
      <c r="K398" s="77"/>
      <c r="L398" s="63"/>
      <c r="M398" s="60" t="s">
        <v>774</v>
      </c>
    </row>
    <row r="399" spans="1:14" ht="60" x14ac:dyDescent="0.2">
      <c r="A399" s="36">
        <v>907</v>
      </c>
      <c r="B399" s="115" t="s">
        <v>776</v>
      </c>
      <c r="C399" s="50"/>
      <c r="D399" s="51" t="s">
        <v>1292</v>
      </c>
      <c r="E399" s="51"/>
      <c r="F399" s="52" t="s">
        <v>613</v>
      </c>
      <c r="G399" s="129" t="s">
        <v>1836</v>
      </c>
      <c r="H399" s="57" t="s">
        <v>792</v>
      </c>
      <c r="I399" s="77" t="s">
        <v>57</v>
      </c>
      <c r="J399" s="77"/>
      <c r="K399" s="77"/>
      <c r="L399" s="63"/>
      <c r="M399" s="60" t="s">
        <v>1783</v>
      </c>
    </row>
    <row r="400" spans="1:14" ht="60" x14ac:dyDescent="0.2">
      <c r="A400" s="36">
        <v>908</v>
      </c>
      <c r="B400" s="115" t="s">
        <v>771</v>
      </c>
      <c r="C400" s="50"/>
      <c r="D400" s="51" t="s">
        <v>1291</v>
      </c>
      <c r="E400" s="51"/>
      <c r="F400" s="52" t="s">
        <v>613</v>
      </c>
      <c r="G400" s="129" t="s">
        <v>1836</v>
      </c>
      <c r="H400" s="57" t="s">
        <v>792</v>
      </c>
      <c r="I400" s="77" t="s">
        <v>57</v>
      </c>
      <c r="J400" s="77">
        <v>21</v>
      </c>
      <c r="K400" s="77"/>
      <c r="L400" s="63"/>
      <c r="M400" s="164" t="s">
        <v>774</v>
      </c>
    </row>
    <row r="401" spans="1:14" ht="24" x14ac:dyDescent="0.2">
      <c r="A401" s="36">
        <v>867</v>
      </c>
      <c r="B401" s="115" t="s">
        <v>1290</v>
      </c>
      <c r="C401" s="50" t="str">
        <f>HYPERLINK("#Particularidade!"&amp;ADDRESS(MATCH(B401,Particularidade!B:B,0),2),"Ir para particularidadedes")</f>
        <v>Ir para particularidadedes</v>
      </c>
      <c r="D401" s="51" t="s">
        <v>1289</v>
      </c>
      <c r="E401" s="51"/>
      <c r="F401" s="52" t="s">
        <v>1196</v>
      </c>
      <c r="G401" s="129" t="s">
        <v>1836</v>
      </c>
      <c r="H401" s="57" t="s">
        <v>53</v>
      </c>
      <c r="I401" s="77"/>
      <c r="J401" s="77">
        <v>25</v>
      </c>
      <c r="K401" s="77"/>
      <c r="L401" s="63" t="s">
        <v>63</v>
      </c>
      <c r="M401" s="60" t="s">
        <v>781</v>
      </c>
    </row>
    <row r="402" spans="1:14" ht="24" x14ac:dyDescent="0.2">
      <c r="A402" s="36">
        <v>911</v>
      </c>
      <c r="B402" s="115" t="s">
        <v>1793</v>
      </c>
      <c r="C402" s="50"/>
      <c r="D402" s="51"/>
      <c r="E402" s="51"/>
      <c r="F402" s="52"/>
      <c r="G402" s="129" t="s">
        <v>1836</v>
      </c>
      <c r="H402" s="57" t="s">
        <v>39</v>
      </c>
      <c r="I402" s="77" t="s">
        <v>57</v>
      </c>
      <c r="J402" s="77">
        <v>21</v>
      </c>
      <c r="K402" s="77"/>
      <c r="L402" s="63"/>
      <c r="M402" s="60" t="s">
        <v>1794</v>
      </c>
    </row>
    <row r="403" spans="1:14" ht="24" x14ac:dyDescent="0.2">
      <c r="A403" s="36">
        <v>913</v>
      </c>
      <c r="B403" s="115" t="s">
        <v>1839</v>
      </c>
      <c r="C403" s="50"/>
      <c r="D403" s="51"/>
      <c r="E403" s="51"/>
      <c r="F403" s="52"/>
      <c r="G403" s="129" t="s">
        <v>1836</v>
      </c>
      <c r="H403" s="57" t="s">
        <v>53</v>
      </c>
      <c r="I403" s="77">
        <v>1</v>
      </c>
      <c r="J403" s="77">
        <v>25</v>
      </c>
      <c r="K403" s="77"/>
      <c r="L403" s="63" t="s">
        <v>63</v>
      </c>
      <c r="M403" s="183">
        <v>43922</v>
      </c>
    </row>
    <row r="404" spans="1:14" ht="48" x14ac:dyDescent="0.2">
      <c r="A404" s="37">
        <v>7</v>
      </c>
      <c r="B404" s="36" t="s">
        <v>798</v>
      </c>
      <c r="C404" s="50" t="str">
        <f>HYPERLINK("#Particularidade!"&amp;ADDRESS(MATCH(B404,Particularidade!B:B,0),2),"Ir para particularidadedes")</f>
        <v>Ir para particularidadedes</v>
      </c>
      <c r="D404" s="51" t="s">
        <v>813</v>
      </c>
      <c r="E404" s="51"/>
      <c r="F404" s="52" t="s">
        <v>613</v>
      </c>
      <c r="G404" s="53" t="s">
        <v>45</v>
      </c>
      <c r="H404" s="57" t="s">
        <v>41</v>
      </c>
      <c r="I404" s="54">
        <v>1</v>
      </c>
      <c r="J404" s="57">
        <v>28</v>
      </c>
      <c r="K404" s="57" t="s">
        <v>1684</v>
      </c>
      <c r="L404" s="57" t="s">
        <v>63</v>
      </c>
      <c r="M404" s="56" t="s">
        <v>1717</v>
      </c>
      <c r="N404" s="131" t="s">
        <v>1687</v>
      </c>
    </row>
    <row r="405" spans="1:14" ht="48" x14ac:dyDescent="0.2">
      <c r="A405" s="37">
        <v>587</v>
      </c>
      <c r="B405" s="36" t="s">
        <v>497</v>
      </c>
      <c r="C405" s="50" t="str">
        <f>HYPERLINK("#Particularidade!"&amp;ADDRESS(MATCH(B405,Particularidade!B:B,0),2),"Ir para particularidadedes")</f>
        <v>Ir para particularidadedes</v>
      </c>
      <c r="D405" s="51" t="s">
        <v>1317</v>
      </c>
      <c r="E405" s="51" t="s">
        <v>1316</v>
      </c>
      <c r="F405" s="52" t="s">
        <v>613</v>
      </c>
      <c r="G405" s="53" t="s">
        <v>45</v>
      </c>
      <c r="H405" s="57" t="s">
        <v>41</v>
      </c>
      <c r="I405" s="54">
        <v>2</v>
      </c>
      <c r="J405" s="57">
        <v>28</v>
      </c>
      <c r="K405" s="57" t="s">
        <v>1684</v>
      </c>
      <c r="L405" s="54" t="s">
        <v>63</v>
      </c>
      <c r="M405" s="60" t="s">
        <v>1784</v>
      </c>
      <c r="N405" s="173" t="s">
        <v>1683</v>
      </c>
    </row>
    <row r="406" spans="1:14" x14ac:dyDescent="0.2">
      <c r="A406" s="36">
        <v>834</v>
      </c>
      <c r="B406" s="36" t="s">
        <v>1583</v>
      </c>
      <c r="C406" s="50" t="str">
        <f>HYPERLINK("#Particularidade!"&amp;ADDRESS(MATCH(B406,Particularidade!B:B,0),2),"Ir para particularidadedes")</f>
        <v>Ir para particularidadedes</v>
      </c>
      <c r="D406" s="51" t="s">
        <v>1582</v>
      </c>
      <c r="E406" s="51" t="s">
        <v>1581</v>
      </c>
      <c r="F406" s="52" t="s">
        <v>54</v>
      </c>
      <c r="G406" s="53" t="s">
        <v>45</v>
      </c>
      <c r="H406" s="57" t="s">
        <v>41</v>
      </c>
      <c r="I406" s="76">
        <v>1</v>
      </c>
      <c r="J406" s="77">
        <v>30</v>
      </c>
      <c r="K406" s="77" t="s">
        <v>1684</v>
      </c>
      <c r="L406" s="77" t="s">
        <v>63</v>
      </c>
      <c r="M406" s="72" t="s">
        <v>1700</v>
      </c>
      <c r="N406" s="131" t="s">
        <v>1687</v>
      </c>
    </row>
    <row r="407" spans="1:14" ht="48" x14ac:dyDescent="0.2">
      <c r="A407" s="37">
        <v>839</v>
      </c>
      <c r="B407" s="36" t="s">
        <v>1281</v>
      </c>
      <c r="C407" s="50" t="str">
        <f>HYPERLINK("#Particularidade!"&amp;ADDRESS(MATCH(B407,Particularidade!B:B,0),2),"Ir para particularidadedes")</f>
        <v>Ir para particularidadedes</v>
      </c>
      <c r="D407" s="51" t="s">
        <v>1280</v>
      </c>
      <c r="E407" s="51"/>
      <c r="F407" s="52" t="s">
        <v>1196</v>
      </c>
      <c r="G407" s="129" t="s">
        <v>1836</v>
      </c>
      <c r="H407" s="57" t="s">
        <v>52</v>
      </c>
      <c r="I407" s="54">
        <v>1</v>
      </c>
      <c r="J407" s="54">
        <v>28</v>
      </c>
      <c r="K407" s="54"/>
      <c r="L407" s="59" t="s">
        <v>63</v>
      </c>
      <c r="M407" s="60" t="s">
        <v>782</v>
      </c>
    </row>
    <row r="408" spans="1:14" ht="48" x14ac:dyDescent="0.2">
      <c r="A408" s="37">
        <v>901</v>
      </c>
      <c r="B408" s="36" t="s">
        <v>1279</v>
      </c>
      <c r="C408" s="50" t="str">
        <f>HYPERLINK("#Particularidade!"&amp;ADDRESS(MATCH(B408,Particularidade!B:B,0),2),"Ir para particularidadedes")</f>
        <v>Ir para particularidadedes</v>
      </c>
      <c r="D408" s="51" t="s">
        <v>1278</v>
      </c>
      <c r="E408" s="51"/>
      <c r="F408" s="52" t="s">
        <v>613</v>
      </c>
      <c r="G408" s="129" t="s">
        <v>1836</v>
      </c>
      <c r="H408" s="57" t="s">
        <v>39</v>
      </c>
      <c r="I408" s="57" t="s">
        <v>57</v>
      </c>
      <c r="J408" s="54">
        <v>21</v>
      </c>
      <c r="K408" s="54"/>
      <c r="L408" s="59" t="s">
        <v>63</v>
      </c>
      <c r="M408" s="60" t="s">
        <v>225</v>
      </c>
    </row>
    <row r="409" spans="1:14" ht="48" x14ac:dyDescent="0.2">
      <c r="A409" s="37">
        <v>905</v>
      </c>
      <c r="B409" s="36" t="s">
        <v>1275</v>
      </c>
      <c r="C409" s="50"/>
      <c r="D409" s="51" t="s">
        <v>1274</v>
      </c>
      <c r="E409" s="51"/>
      <c r="F409" s="52" t="s">
        <v>613</v>
      </c>
      <c r="G409" s="129" t="s">
        <v>1836</v>
      </c>
      <c r="H409" s="57" t="s">
        <v>39</v>
      </c>
      <c r="I409" s="57" t="s">
        <v>57</v>
      </c>
      <c r="J409" s="54">
        <v>21</v>
      </c>
      <c r="K409" s="54"/>
      <c r="L409" s="59" t="s">
        <v>63</v>
      </c>
      <c r="M409" s="60" t="s">
        <v>621</v>
      </c>
    </row>
    <row r="410" spans="1:14" x14ac:dyDescent="0.2">
      <c r="A410" s="37"/>
      <c r="B410" s="36"/>
      <c r="C410" s="50"/>
      <c r="D410" s="51"/>
      <c r="E410" s="51"/>
      <c r="F410" s="52"/>
      <c r="G410" s="129"/>
      <c r="H410" s="57"/>
      <c r="I410" s="57"/>
      <c r="J410" s="54"/>
      <c r="K410" s="54"/>
      <c r="L410" s="59"/>
      <c r="M410" s="60"/>
    </row>
    <row r="411" spans="1:14" x14ac:dyDescent="0.2">
      <c r="A411" s="37">
        <v>909</v>
      </c>
      <c r="B411" s="174" t="s">
        <v>266</v>
      </c>
      <c r="C411" s="50"/>
      <c r="D411" s="51"/>
      <c r="E411" s="51"/>
      <c r="F411" s="52"/>
      <c r="G411" s="129" t="s">
        <v>1836</v>
      </c>
      <c r="H411" s="57" t="s">
        <v>54</v>
      </c>
      <c r="I411" s="57"/>
      <c r="J411" s="54"/>
      <c r="K411" s="54"/>
      <c r="L411" s="59"/>
      <c r="M411" s="60" t="s">
        <v>1774</v>
      </c>
    </row>
    <row r="412" spans="1:14" ht="24" x14ac:dyDescent="0.2">
      <c r="A412" s="37">
        <v>910</v>
      </c>
      <c r="B412" s="36" t="s">
        <v>1772</v>
      </c>
      <c r="C412" s="50"/>
      <c r="D412" s="51"/>
      <c r="E412" s="51"/>
      <c r="F412" s="52"/>
      <c r="G412" s="129" t="s">
        <v>1836</v>
      </c>
      <c r="H412" s="57" t="s">
        <v>53</v>
      </c>
      <c r="I412" s="57"/>
      <c r="J412" s="54"/>
      <c r="K412" s="54"/>
      <c r="L412" s="59" t="s">
        <v>63</v>
      </c>
      <c r="M412" s="60" t="s">
        <v>1773</v>
      </c>
    </row>
    <row r="413" spans="1:14" x14ac:dyDescent="0.2">
      <c r="A413" s="37">
        <v>911</v>
      </c>
      <c r="B413" s="184" t="s">
        <v>1796</v>
      </c>
      <c r="C413" s="50"/>
      <c r="D413" s="51"/>
      <c r="E413" s="51"/>
      <c r="F413" s="52"/>
      <c r="G413" s="129" t="s">
        <v>1836</v>
      </c>
      <c r="H413" s="57"/>
      <c r="I413" s="57"/>
      <c r="J413" s="54"/>
      <c r="K413" s="54"/>
      <c r="L413" s="59"/>
      <c r="M413" s="60"/>
    </row>
    <row r="414" spans="1:14" ht="24" x14ac:dyDescent="0.2">
      <c r="A414" s="37">
        <v>914</v>
      </c>
      <c r="B414" s="184" t="s">
        <v>1847</v>
      </c>
      <c r="C414" s="50"/>
      <c r="D414" s="51" t="s">
        <v>1854</v>
      </c>
      <c r="E414" s="51"/>
      <c r="F414" s="52"/>
      <c r="G414" s="129" t="s">
        <v>1836</v>
      </c>
      <c r="H414" s="57" t="s">
        <v>39</v>
      </c>
      <c r="I414" s="57" t="s">
        <v>40</v>
      </c>
      <c r="J414" s="54">
        <v>25</v>
      </c>
      <c r="K414" s="54"/>
      <c r="L414" s="59"/>
      <c r="M414" s="60" t="s">
        <v>1848</v>
      </c>
    </row>
    <row r="415" spans="1:14" ht="24" x14ac:dyDescent="0.2">
      <c r="A415" s="36">
        <v>1014</v>
      </c>
      <c r="B415" s="36" t="s">
        <v>1709</v>
      </c>
      <c r="C415" s="50" t="str">
        <f>HYPERLINK("#Particularidade!"&amp;ADDRESS(MATCH(B415,Particularidade!B:B,0),2),"Ir para particularidadedes")</f>
        <v>Ir para particularidadedes</v>
      </c>
      <c r="D415" s="51" t="s">
        <v>1273</v>
      </c>
      <c r="E415" s="51"/>
      <c r="F415" s="52" t="s">
        <v>1196</v>
      </c>
      <c r="G415" s="129" t="s">
        <v>1836</v>
      </c>
      <c r="H415" s="57" t="s">
        <v>53</v>
      </c>
      <c r="I415" s="54">
        <v>1</v>
      </c>
      <c r="J415" s="57">
        <v>28</v>
      </c>
      <c r="K415" s="57"/>
      <c r="L415" s="136" t="s">
        <v>63</v>
      </c>
      <c r="M415" s="56" t="s">
        <v>124</v>
      </c>
    </row>
    <row r="416" spans="1:14" ht="36" x14ac:dyDescent="0.2">
      <c r="A416" s="36">
        <v>1023</v>
      </c>
      <c r="B416" s="36" t="s">
        <v>1271</v>
      </c>
      <c r="C416" s="50" t="str">
        <f>HYPERLINK("#Particularidade!"&amp;ADDRESS(MATCH(B416,Particularidade!B:B,0),2),"Ir para particularidadedes")</f>
        <v>Ir para particularidadedes</v>
      </c>
      <c r="D416" s="51" t="s">
        <v>1270</v>
      </c>
      <c r="E416" s="51"/>
      <c r="F416" s="52" t="s">
        <v>1196</v>
      </c>
      <c r="G416" s="129" t="s">
        <v>46</v>
      </c>
      <c r="H416" s="57" t="s">
        <v>50</v>
      </c>
      <c r="I416" s="57">
        <v>0</v>
      </c>
      <c r="J416" s="57">
        <v>28</v>
      </c>
      <c r="K416" s="57"/>
      <c r="L416" s="57" t="s">
        <v>67</v>
      </c>
      <c r="M416" s="56" t="s">
        <v>1767</v>
      </c>
    </row>
    <row r="417" spans="1:14" ht="36" x14ac:dyDescent="0.2">
      <c r="A417" s="36">
        <v>1029</v>
      </c>
      <c r="B417" s="36" t="s">
        <v>36</v>
      </c>
      <c r="C417" s="50" t="str">
        <f>HYPERLINK("#Particularidade!"&amp;ADDRESS(MATCH(B417,Particularidade!B:B,0),2),"Ir para particularidadedes")</f>
        <v>Ir para particularidadedes</v>
      </c>
      <c r="D417" s="51" t="s">
        <v>1267</v>
      </c>
      <c r="E417" s="51"/>
      <c r="F417" s="52" t="s">
        <v>1196</v>
      </c>
      <c r="G417" s="129" t="s">
        <v>46</v>
      </c>
      <c r="H417" s="57" t="s">
        <v>50</v>
      </c>
      <c r="I417" s="54">
        <v>1</v>
      </c>
      <c r="J417" s="57">
        <v>28</v>
      </c>
      <c r="K417" s="57"/>
      <c r="L417" s="57" t="s">
        <v>63</v>
      </c>
      <c r="M417" s="56" t="s">
        <v>181</v>
      </c>
    </row>
    <row r="418" spans="1:14" ht="48" x14ac:dyDescent="0.2">
      <c r="A418" s="36">
        <v>1035</v>
      </c>
      <c r="B418" s="36" t="s">
        <v>1266</v>
      </c>
      <c r="C418" s="50" t="str">
        <f>HYPERLINK("#Particularidade!"&amp;ADDRESS(MATCH(B418,Particularidade!B:B,0),2),"Ir para particularidadedes")</f>
        <v>Ir para particularidadedes</v>
      </c>
      <c r="D418" s="51" t="s">
        <v>1265</v>
      </c>
      <c r="E418" s="51"/>
      <c r="F418" s="52" t="s">
        <v>1196</v>
      </c>
      <c r="G418" s="129" t="s">
        <v>1836</v>
      </c>
      <c r="H418" s="57" t="s">
        <v>53</v>
      </c>
      <c r="I418" s="54">
        <v>1</v>
      </c>
      <c r="J418" s="54">
        <v>28</v>
      </c>
      <c r="K418" s="54"/>
      <c r="L418" s="71" t="s">
        <v>1708</v>
      </c>
      <c r="M418" s="60" t="s">
        <v>785</v>
      </c>
    </row>
    <row r="419" spans="1:14" ht="36" x14ac:dyDescent="0.2">
      <c r="A419" s="37">
        <v>595</v>
      </c>
      <c r="B419" s="36" t="s">
        <v>1330</v>
      </c>
      <c r="C419" s="50" t="str">
        <f>HYPERLINK("#Particularidade!"&amp;ADDRESS(MATCH(B419,Particularidade!B:B,0),2),"Ir para particularidadedes")</f>
        <v>Ir para particularidadedes</v>
      </c>
      <c r="D419" s="51" t="s">
        <v>1329</v>
      </c>
      <c r="E419" s="51" t="s">
        <v>1328</v>
      </c>
      <c r="F419" s="52" t="s">
        <v>613</v>
      </c>
      <c r="G419" s="53" t="s">
        <v>45</v>
      </c>
      <c r="H419" s="57" t="s">
        <v>41</v>
      </c>
      <c r="I419" s="54">
        <v>4</v>
      </c>
      <c r="J419" s="57">
        <v>28</v>
      </c>
      <c r="K419" s="57" t="s">
        <v>1689</v>
      </c>
      <c r="L419" s="63" t="s">
        <v>63</v>
      </c>
      <c r="M419" s="56" t="s">
        <v>1842</v>
      </c>
      <c r="N419" s="131" t="s">
        <v>1687</v>
      </c>
    </row>
    <row r="420" spans="1:14" ht="72" x14ac:dyDescent="0.2">
      <c r="A420" s="37">
        <v>457</v>
      </c>
      <c r="B420" s="36" t="s">
        <v>1115</v>
      </c>
      <c r="C420" s="50" t="str">
        <f>HYPERLINK("#Particularidade!"&amp;ADDRESS(MATCH(B420,Particularidade!B:B,0),2),"Ir para particularidadedes")</f>
        <v>Ir para particularidadedes</v>
      </c>
      <c r="D420" s="51" t="s">
        <v>1114</v>
      </c>
      <c r="E420" s="51" t="s">
        <v>1113</v>
      </c>
      <c r="F420" s="52" t="s">
        <v>614</v>
      </c>
      <c r="G420" s="53" t="s">
        <v>45</v>
      </c>
      <c r="H420" s="54" t="s">
        <v>41</v>
      </c>
      <c r="I420" s="54">
        <v>1</v>
      </c>
      <c r="J420" s="54">
        <v>3</v>
      </c>
      <c r="K420" s="54" t="s">
        <v>1684</v>
      </c>
      <c r="L420" s="54" t="s">
        <v>105</v>
      </c>
      <c r="M420" s="56" t="s">
        <v>1693</v>
      </c>
      <c r="N420" s="131" t="s">
        <v>1687</v>
      </c>
    </row>
    <row r="421" spans="1:14" ht="48" x14ac:dyDescent="0.2">
      <c r="A421" s="37">
        <v>667</v>
      </c>
      <c r="B421" s="36" t="s">
        <v>1365</v>
      </c>
      <c r="C421" s="50" t="str">
        <f>HYPERLINK("#Particularidade!"&amp;ADDRESS(MATCH(B421,Particularidade!B:B,0),2),"Ir para particularidadedes")</f>
        <v>Ir para particularidadedes</v>
      </c>
      <c r="D421" s="51" t="s">
        <v>1364</v>
      </c>
      <c r="E421" s="51" t="s">
        <v>1363</v>
      </c>
      <c r="F421" s="52" t="s">
        <v>613</v>
      </c>
      <c r="G421" s="53" t="s">
        <v>45</v>
      </c>
      <c r="H421" s="37" t="s">
        <v>52</v>
      </c>
      <c r="I421" s="54">
        <v>1</v>
      </c>
      <c r="J421" s="57">
        <v>30</v>
      </c>
      <c r="K421" s="57"/>
      <c r="L421" s="63" t="s">
        <v>63</v>
      </c>
      <c r="M421" s="56" t="s">
        <v>158</v>
      </c>
      <c r="N421" s="131" t="s">
        <v>1687</v>
      </c>
    </row>
    <row r="422" spans="1:14" ht="24" x14ac:dyDescent="0.2">
      <c r="A422" s="36">
        <v>1090</v>
      </c>
      <c r="B422" s="36" t="s">
        <v>1256</v>
      </c>
      <c r="C422" s="50" t="str">
        <f>HYPERLINK("#Particularidade!"&amp;ADDRESS(MATCH(B422,Particularidade!B:B,0),2),"Ir para particularidadedes")</f>
        <v>Ir para particularidadedes</v>
      </c>
      <c r="D422" s="51" t="s">
        <v>1255</v>
      </c>
      <c r="E422" s="51"/>
      <c r="F422" s="52" t="s">
        <v>1196</v>
      </c>
      <c r="G422" s="129" t="s">
        <v>1836</v>
      </c>
      <c r="H422" s="57" t="s">
        <v>53</v>
      </c>
      <c r="I422" s="57">
        <v>2</v>
      </c>
      <c r="J422" s="54">
        <v>28</v>
      </c>
      <c r="K422" s="54"/>
      <c r="L422" s="54" t="s">
        <v>63</v>
      </c>
      <c r="M422" s="56" t="s">
        <v>197</v>
      </c>
    </row>
    <row r="423" spans="1:14" ht="24" x14ac:dyDescent="0.2">
      <c r="A423" s="36">
        <v>1091</v>
      </c>
      <c r="B423" s="36" t="s">
        <v>1254</v>
      </c>
      <c r="C423" s="50" t="str">
        <f>HYPERLINK("#Particularidade!"&amp;ADDRESS(MATCH(B423,Particularidade!B:B,0),2),"Ir para particularidadedes")</f>
        <v>Ir para particularidadedes</v>
      </c>
      <c r="D423" s="51" t="s">
        <v>1253</v>
      </c>
      <c r="E423" s="51"/>
      <c r="F423" s="52" t="s">
        <v>1196</v>
      </c>
      <c r="G423" s="129" t="s">
        <v>1836</v>
      </c>
      <c r="H423" s="57" t="s">
        <v>52</v>
      </c>
      <c r="I423" s="57">
        <v>2</v>
      </c>
      <c r="J423" s="57">
        <v>28</v>
      </c>
      <c r="K423" s="57"/>
      <c r="L423" s="57" t="s">
        <v>63</v>
      </c>
      <c r="M423" s="60" t="s">
        <v>228</v>
      </c>
    </row>
    <row r="424" spans="1:14" ht="36" x14ac:dyDescent="0.2">
      <c r="A424" s="37"/>
      <c r="B424" s="36" t="s">
        <v>37</v>
      </c>
      <c r="C424" s="50" t="e">
        <f>HYPERLINK("#Particularidade!"&amp;ADDRESS(MATCH(B424,Particularidade!B:B,0),2),"Ir para particularidadedes")</f>
        <v>#N/A</v>
      </c>
      <c r="D424" s="51"/>
      <c r="E424" s="51"/>
      <c r="F424" s="51"/>
      <c r="G424" s="142"/>
      <c r="H424" s="57" t="s">
        <v>52</v>
      </c>
      <c r="I424" s="54">
        <v>1</v>
      </c>
      <c r="J424" s="57">
        <v>28</v>
      </c>
      <c r="K424" s="57"/>
      <c r="L424" s="57" t="s">
        <v>63</v>
      </c>
      <c r="M424" s="56" t="s">
        <v>229</v>
      </c>
    </row>
    <row r="425" spans="1:14" x14ac:dyDescent="0.2">
      <c r="A425" s="44"/>
      <c r="B425" s="36"/>
      <c r="C425" s="85"/>
      <c r="D425" s="85"/>
      <c r="E425" s="85"/>
      <c r="F425" s="85"/>
      <c r="G425" s="165"/>
      <c r="H425" s="73"/>
      <c r="I425" s="80"/>
      <c r="J425" s="73"/>
      <c r="K425" s="73"/>
      <c r="L425" s="166"/>
      <c r="M425" s="68"/>
      <c r="N425" s="131"/>
    </row>
    <row r="426" spans="1:14" x14ac:dyDescent="0.2">
      <c r="C426" s="86"/>
      <c r="D426" s="86"/>
      <c r="E426" s="86"/>
      <c r="F426" s="86"/>
    </row>
    <row r="432" spans="1:14" x14ac:dyDescent="0.2">
      <c r="D432" s="87" t="s">
        <v>1835</v>
      </c>
    </row>
    <row r="442" spans="3:15" x14ac:dyDescent="0.2">
      <c r="C442" s="203"/>
    </row>
    <row r="443" spans="3:15" x14ac:dyDescent="0.2">
      <c r="C443" s="203"/>
    </row>
    <row r="444" spans="3:15" x14ac:dyDescent="0.2">
      <c r="C444" s="203"/>
    </row>
    <row r="445" spans="3:15" x14ac:dyDescent="0.2">
      <c r="C445" s="203"/>
    </row>
    <row r="446" spans="3:15" x14ac:dyDescent="0.2">
      <c r="C446" s="203"/>
    </row>
    <row r="447" spans="3:15" x14ac:dyDescent="0.2">
      <c r="C447" s="203"/>
      <c r="N447" s="181"/>
      <c r="O447" s="182"/>
    </row>
    <row r="448" spans="3:15" x14ac:dyDescent="0.2">
      <c r="C448" s="203"/>
    </row>
    <row r="449" spans="3:3" x14ac:dyDescent="0.2">
      <c r="C449" s="203"/>
    </row>
    <row r="450" spans="3:3" x14ac:dyDescent="0.2">
      <c r="C450" s="203"/>
    </row>
    <row r="451" spans="3:3" x14ac:dyDescent="0.2">
      <c r="C451" s="203"/>
    </row>
    <row r="452" spans="3:3" x14ac:dyDescent="0.2">
      <c r="C452" s="203"/>
    </row>
    <row r="453" spans="3:3" x14ac:dyDescent="0.2">
      <c r="C453" s="203"/>
    </row>
    <row r="454" spans="3:3" x14ac:dyDescent="0.2">
      <c r="C454" s="203"/>
    </row>
    <row r="455" spans="3:3" x14ac:dyDescent="0.2">
      <c r="C455" s="203"/>
    </row>
  </sheetData>
  <autoFilter ref="A1:N424"/>
  <sortState ref="A2:N446">
    <sortCondition ref="B1"/>
  </sortState>
  <customSheetViews>
    <customSheetView guid="{7B976439-AAC9-41C3-BCF0-6D93775196CD}" scale="85" showAutoFilter="1">
      <selection activeCell="G3" sqref="G3"/>
      <pageMargins left="0.19685039370078741" right="0.19685039370078741" top="0.19685039370078741" bottom="0.19685039370078741" header="0.31496062992125984" footer="0.31496062992125984"/>
      <pageSetup paperSize="9" scale="50" orientation="portrait" horizontalDpi="10" verticalDpi="150" r:id="rId1"/>
      <autoFilter ref="A1:N424"/>
    </customSheetView>
    <customSheetView guid="{DFB7C661-5C1D-4491-B5BB-D24125818F62}" scale="85" showPageBreaks="1" fitToPage="1" filter="1" showAutoFilter="1" hiddenColumns="1" topLeftCell="A381">
      <selection activeCell="I389" sqref="I389"/>
      <pageMargins left="0.7" right="0.7" top="0.75" bottom="0.75" header="0.3" footer="0.3"/>
      <pageSetup paperSize="9" scale="10" fitToHeight="0" orientation="portrait" horizontalDpi="10" verticalDpi="150" r:id="rId2"/>
      <autoFilter ref="A1:N424">
        <filterColumn colId="6">
          <filters>
            <filter val="FRAN"/>
          </filters>
        </filterColumn>
      </autoFilter>
    </customSheetView>
    <customSheetView guid="{52D4489E-F705-44D0-BDD7-2E61E89BBFE2}" scale="85" showPageBreaks="1" fitToPage="1" filter="1" showAutoFilter="1" hiddenColumns="1">
      <selection activeCell="F1" sqref="F1:F1048576"/>
      <pageMargins left="0.18" right="0.3" top="0.77" bottom="0.21" header="0.3" footer="0.3"/>
      <pageSetup paperSize="9" scale="49" fitToHeight="0" orientation="portrait" horizontalDpi="10" verticalDpi="150" r:id="rId3"/>
      <autoFilter ref="A1:N423">
        <filterColumn colId="6">
          <filters>
            <filter val="FRAN"/>
          </filters>
        </filterColumn>
        <filterColumn colId="8">
          <filters>
            <filter val="PRO-LABORE"/>
          </filters>
        </filterColumn>
      </autoFilter>
    </customSheetView>
    <customSheetView guid="{590CEBDA-E7AE-4D8D-8613-56208662CCA9}" scale="85" showPageBreaks="1" filter="1" showAutoFilter="1" topLeftCell="A190">
      <selection activeCell="M282" sqref="M282"/>
      <pageMargins left="0.19685039370078741" right="0.19685039370078741" top="0.19685039370078741" bottom="0.19685039370078741" header="0.31496062992125984" footer="0.31496062992125984"/>
      <pageSetup paperSize="9" scale="50" orientation="portrait" horizontalDpi="10" verticalDpi="150" r:id="rId4"/>
      <autoFilter ref="A1:N423">
        <filterColumn colId="7">
          <filters>
            <filter val="DOMÉSTICO"/>
          </filters>
        </filterColumn>
      </autoFilter>
    </customSheetView>
    <customSheetView guid="{3BCABC4F-4072-4ED9-90CC-E9BE96773387}" scale="85" showPageBreaks="1" fitToPage="1" filter="1" showAutoFilter="1" hiddenColumns="1" topLeftCell="A362">
      <selection activeCell="J349" sqref="J349"/>
      <pageMargins left="0.18" right="0.3" top="0.77" bottom="0.21" header="0.3" footer="0.3"/>
      <pageSetup paperSize="9" scale="58" fitToHeight="0" orientation="portrait" horizontalDpi="10" verticalDpi="150" r:id="rId5"/>
      <autoFilter ref="A1:N423">
        <filterColumn colId="6">
          <filters>
            <filter val="FABI"/>
          </filters>
        </filterColumn>
      </autoFilter>
    </customSheetView>
    <customSheetView guid="{44627F90-111A-4938-A3EC-3F862F83F7D7}" scale="85" showPageBreaks="1" fitToPage="1" printArea="1" showAutoFilter="1">
      <selection activeCell="B459" sqref="B459"/>
      <pageMargins left="0.7" right="0.7" top="0.75" bottom="0.75" header="0.3" footer="0.3"/>
      <pageSetup paperSize="9" scale="33" fitToHeight="0" orientation="portrait" horizontalDpi="10" verticalDpi="150" r:id="rId6"/>
      <autoFilter ref="A1:N423"/>
    </customSheetView>
    <customSheetView guid="{4AD023DC-4B9E-473F-AB98-4A1747DCD454}" scale="85" showPageBreaks="1" filter="1" showAutoFilter="1">
      <selection activeCell="G315" sqref="G315"/>
      <pageMargins left="0.19685039370078741" right="0.19685039370078741" top="0.19685039370078741" bottom="0.19685039370078741" header="0.31496062992125984" footer="0.31496062992125984"/>
      <pageSetup paperSize="9" scale="50" orientation="portrait" horizontalDpi="10" verticalDpi="150" r:id="rId7"/>
      <autoFilter ref="A1:N423">
        <filterColumn colId="1">
          <filters>
            <filter val="MARCIA CRISTINA"/>
            <filter val="MARCIA CRISTINA DE ALMEIDA SANTOS"/>
            <filter val="MARCIA E SOARES"/>
            <filter val="MARCIA REGINA (SOCIA BIOLIFE)"/>
          </filters>
        </filterColumn>
      </autoFilter>
    </customSheetView>
    <customSheetView guid="{EA2840B9-4395-4F38-9C2E-B3C8A78F8E87}" scale="85" showPageBreaks="1" fitToPage="1" filter="1" showAutoFilter="1">
      <selection activeCell="E296" sqref="E296"/>
      <pageMargins left="0.7" right="0.7" top="0.75" bottom="0.75" header="0.3" footer="0.3"/>
      <pageSetup paperSize="9" scale="35" fitToHeight="0" orientation="portrait" horizontalDpi="10" verticalDpi="150" r:id="rId8"/>
      <autoFilter ref="A1:N420">
        <filterColumn colId="7">
          <filters>
            <filter val="S"/>
          </filters>
        </filterColumn>
      </autoFilter>
    </customSheetView>
    <customSheetView guid="{DAEEB123-9C5D-4BF0-8F09-E7DEBC62D826}" scale="85" showPageBreaks="1" fitToPage="1" showAutoFilter="1" hiddenColumns="1" topLeftCell="A394">
      <selection activeCell="B403" sqref="B403"/>
      <pageMargins left="0.19685039370078741" right="0.19685039370078741" top="0.19685039370078741" bottom="0.19685039370078741" header="0.31496062992125984" footer="0.31496062992125984"/>
      <pageSetup paperSize="9" scale="10" orientation="portrait" horizontalDpi="10" verticalDpi="150" r:id="rId9"/>
      <autoFilter ref="A1:N423"/>
    </customSheetView>
  </customSheetViews>
  <pageMargins left="0.19685039370078741" right="0.19685039370078741" top="0.19685039370078741" bottom="0.19685039370078741" header="0.31496062992125984" footer="0.31496062992125984"/>
  <pageSetup paperSize="9" scale="50" orientation="portrait" horizontalDpi="10" verticalDpi="15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rgb="FFFF0000"/>
  </sheetPr>
  <dimension ref="A1:E571"/>
  <sheetViews>
    <sheetView topLeftCell="A302" workbookViewId="0">
      <selection activeCell="B326" sqref="B326"/>
    </sheetView>
  </sheetViews>
  <sheetFormatPr defaultRowHeight="12.75" x14ac:dyDescent="0.2"/>
  <cols>
    <col min="1" max="1" width="9.140625" style="189"/>
    <col min="2" max="2" width="37.42578125" style="189" customWidth="1"/>
    <col min="3" max="3" width="108.5703125" style="189" customWidth="1"/>
    <col min="4" max="4" width="43.140625" style="189" customWidth="1"/>
    <col min="5" max="5" width="10.7109375" style="189" bestFit="1" customWidth="1"/>
    <col min="6" max="16384" width="9.140625" style="189"/>
  </cols>
  <sheetData>
    <row r="1" spans="1:4" x14ac:dyDescent="0.2">
      <c r="A1" s="9" t="s">
        <v>231</v>
      </c>
      <c r="B1" s="10" t="s">
        <v>232</v>
      </c>
      <c r="C1" s="9" t="s">
        <v>233</v>
      </c>
      <c r="D1" s="9" t="s">
        <v>603</v>
      </c>
    </row>
    <row r="2" spans="1:4" ht="38.25" x14ac:dyDescent="0.2">
      <c r="A2" s="1">
        <v>4</v>
      </c>
      <c r="B2" s="8" t="s">
        <v>800</v>
      </c>
      <c r="C2" s="11" t="s">
        <v>1798</v>
      </c>
      <c r="D2" s="189" t="s">
        <v>604</v>
      </c>
    </row>
    <row r="3" spans="1:4" x14ac:dyDescent="0.2">
      <c r="A3" s="1">
        <v>5</v>
      </c>
      <c r="B3" s="5" t="s">
        <v>802</v>
      </c>
      <c r="C3" s="11" t="s">
        <v>789</v>
      </c>
    </row>
    <row r="4" spans="1:4" x14ac:dyDescent="0.2">
      <c r="A4" s="1">
        <v>6</v>
      </c>
      <c r="B4" s="8" t="s">
        <v>797</v>
      </c>
      <c r="C4" s="11" t="s">
        <v>234</v>
      </c>
      <c r="D4" s="189" t="s">
        <v>606</v>
      </c>
    </row>
    <row r="5" spans="1:4" x14ac:dyDescent="0.2">
      <c r="A5" s="1">
        <v>7</v>
      </c>
      <c r="B5" s="8" t="s">
        <v>798</v>
      </c>
      <c r="C5" s="12" t="s">
        <v>235</v>
      </c>
    </row>
    <row r="6" spans="1:4" x14ac:dyDescent="0.2">
      <c r="A6" s="1">
        <v>8</v>
      </c>
      <c r="B6" s="7" t="s">
        <v>799</v>
      </c>
      <c r="C6" s="11"/>
    </row>
    <row r="7" spans="1:4" x14ac:dyDescent="0.2">
      <c r="A7" s="1">
        <v>9</v>
      </c>
      <c r="B7" s="7" t="s">
        <v>236</v>
      </c>
      <c r="C7" s="11"/>
    </row>
    <row r="8" spans="1:4" ht="63.75" x14ac:dyDescent="0.2">
      <c r="A8" s="1">
        <v>11</v>
      </c>
      <c r="B8" s="7" t="s">
        <v>620</v>
      </c>
      <c r="C8" s="11" t="s">
        <v>607</v>
      </c>
      <c r="D8" s="11"/>
    </row>
    <row r="9" spans="1:4" x14ac:dyDescent="0.2">
      <c r="A9" s="1">
        <v>12</v>
      </c>
      <c r="B9" s="5" t="s">
        <v>2</v>
      </c>
      <c r="C9" s="11" t="s">
        <v>237</v>
      </c>
      <c r="D9" s="11"/>
    </row>
    <row r="10" spans="1:4" ht="102" x14ac:dyDescent="0.2">
      <c r="A10" s="1">
        <v>13</v>
      </c>
      <c r="B10" s="7" t="s">
        <v>806</v>
      </c>
      <c r="C10" s="11" t="s">
        <v>1799</v>
      </c>
    </row>
    <row r="11" spans="1:4" x14ac:dyDescent="0.2">
      <c r="A11" s="1">
        <v>14</v>
      </c>
      <c r="B11" s="7" t="s">
        <v>808</v>
      </c>
      <c r="C11" s="11" t="s">
        <v>234</v>
      </c>
      <c r="D11" s="189" t="s">
        <v>809</v>
      </c>
    </row>
    <row r="12" spans="1:4" x14ac:dyDescent="0.2">
      <c r="A12" s="1">
        <v>17</v>
      </c>
      <c r="B12" s="5" t="s">
        <v>811</v>
      </c>
      <c r="C12" s="11"/>
    </row>
    <row r="13" spans="1:4" x14ac:dyDescent="0.2">
      <c r="A13" s="1">
        <v>18</v>
      </c>
      <c r="B13" s="7" t="s">
        <v>815</v>
      </c>
      <c r="C13" s="11" t="s">
        <v>238</v>
      </c>
    </row>
    <row r="14" spans="1:4" x14ac:dyDescent="0.2">
      <c r="A14" s="2">
        <v>20</v>
      </c>
      <c r="B14" s="7" t="s">
        <v>239</v>
      </c>
      <c r="C14" s="11"/>
    </row>
    <row r="15" spans="1:4" ht="51" x14ac:dyDescent="0.2">
      <c r="A15" s="1">
        <v>22</v>
      </c>
      <c r="B15" s="7" t="s">
        <v>817</v>
      </c>
      <c r="C15" s="11" t="s">
        <v>1800</v>
      </c>
      <c r="D15" s="189" t="s">
        <v>818</v>
      </c>
    </row>
    <row r="16" spans="1:4" x14ac:dyDescent="0.2">
      <c r="A16" s="1">
        <v>23</v>
      </c>
      <c r="B16" s="7" t="s">
        <v>820</v>
      </c>
      <c r="C16" s="11"/>
    </row>
    <row r="17" spans="1:3" ht="127.5" x14ac:dyDescent="0.2">
      <c r="A17" s="2">
        <v>24</v>
      </c>
      <c r="B17" s="7" t="s">
        <v>823</v>
      </c>
      <c r="C17" s="13" t="s">
        <v>1801</v>
      </c>
    </row>
    <row r="18" spans="1:3" x14ac:dyDescent="0.2">
      <c r="A18" s="1">
        <v>28</v>
      </c>
      <c r="B18" s="7" t="s">
        <v>240</v>
      </c>
      <c r="C18" s="11"/>
    </row>
    <row r="19" spans="1:3" x14ac:dyDescent="0.2">
      <c r="A19" s="1">
        <v>31</v>
      </c>
      <c r="B19" s="5" t="s">
        <v>825</v>
      </c>
      <c r="C19" s="11"/>
    </row>
    <row r="20" spans="1:3" x14ac:dyDescent="0.2">
      <c r="A20" s="1">
        <v>32</v>
      </c>
      <c r="B20" s="5" t="s">
        <v>827</v>
      </c>
      <c r="C20" s="11"/>
    </row>
    <row r="21" spans="1:3" ht="38.25" x14ac:dyDescent="0.2">
      <c r="A21" s="1">
        <v>34</v>
      </c>
      <c r="B21" s="7" t="s">
        <v>830</v>
      </c>
      <c r="C21" s="11" t="s">
        <v>643</v>
      </c>
    </row>
    <row r="22" spans="1:3" x14ac:dyDescent="0.2">
      <c r="A22" s="1">
        <v>36</v>
      </c>
      <c r="B22" s="7" t="s">
        <v>3</v>
      </c>
      <c r="C22" s="11"/>
    </row>
    <row r="23" spans="1:3" x14ac:dyDescent="0.2">
      <c r="A23" s="2">
        <v>37</v>
      </c>
      <c r="B23" s="7" t="s">
        <v>241</v>
      </c>
      <c r="C23" s="11"/>
    </row>
    <row r="24" spans="1:3" x14ac:dyDescent="0.2">
      <c r="A24" s="1">
        <v>38</v>
      </c>
      <c r="B24" s="7" t="s">
        <v>242</v>
      </c>
      <c r="C24" s="11"/>
    </row>
    <row r="25" spans="1:3" x14ac:dyDescent="0.2">
      <c r="A25" s="1">
        <v>39</v>
      </c>
      <c r="B25" s="7" t="s">
        <v>833</v>
      </c>
      <c r="C25" s="11" t="s">
        <v>243</v>
      </c>
    </row>
    <row r="26" spans="1:3" x14ac:dyDescent="0.2">
      <c r="A26" s="1">
        <v>40</v>
      </c>
      <c r="B26" s="7" t="s">
        <v>244</v>
      </c>
      <c r="C26" s="11"/>
    </row>
    <row r="27" spans="1:3" x14ac:dyDescent="0.2">
      <c r="A27" s="2">
        <v>42</v>
      </c>
      <c r="B27" s="7" t="s">
        <v>835</v>
      </c>
      <c r="C27" s="11" t="s">
        <v>245</v>
      </c>
    </row>
    <row r="28" spans="1:3" x14ac:dyDescent="0.2">
      <c r="A28" s="1">
        <v>45</v>
      </c>
      <c r="B28" s="7" t="s">
        <v>246</v>
      </c>
      <c r="C28" s="11"/>
    </row>
    <row r="29" spans="1:3" x14ac:dyDescent="0.2">
      <c r="A29" s="1">
        <v>46</v>
      </c>
      <c r="B29" s="7" t="s">
        <v>837</v>
      </c>
      <c r="C29" s="11"/>
    </row>
    <row r="30" spans="1:3" ht="153" x14ac:dyDescent="0.2">
      <c r="A30" s="1">
        <v>47</v>
      </c>
      <c r="B30" s="7" t="s">
        <v>841</v>
      </c>
      <c r="C30" s="11" t="s">
        <v>1802</v>
      </c>
    </row>
    <row r="31" spans="1:3" x14ac:dyDescent="0.2">
      <c r="A31" s="1">
        <v>49</v>
      </c>
      <c r="B31" s="7" t="s">
        <v>842</v>
      </c>
      <c r="C31" s="11"/>
    </row>
    <row r="32" spans="1:3" x14ac:dyDescent="0.2">
      <c r="A32" s="1">
        <v>51</v>
      </c>
      <c r="B32" s="7" t="s">
        <v>845</v>
      </c>
      <c r="C32" s="11"/>
    </row>
    <row r="33" spans="1:4" x14ac:dyDescent="0.2">
      <c r="A33" s="1">
        <v>52</v>
      </c>
      <c r="B33" s="7" t="s">
        <v>846</v>
      </c>
      <c r="C33" s="11" t="s">
        <v>247</v>
      </c>
      <c r="D33" s="189" t="s">
        <v>847</v>
      </c>
    </row>
    <row r="34" spans="1:4" x14ac:dyDescent="0.2">
      <c r="A34" s="1">
        <v>53</v>
      </c>
      <c r="B34" s="7" t="s">
        <v>850</v>
      </c>
      <c r="C34" s="11"/>
    </row>
    <row r="35" spans="1:4" ht="63.75" x14ac:dyDescent="0.2">
      <c r="A35" s="2">
        <v>57</v>
      </c>
      <c r="B35" s="7" t="s">
        <v>853</v>
      </c>
      <c r="C35" s="11" t="s">
        <v>1771</v>
      </c>
    </row>
    <row r="36" spans="1:4" x14ac:dyDescent="0.2">
      <c r="A36" s="1">
        <v>59</v>
      </c>
      <c r="B36" s="7" t="s">
        <v>248</v>
      </c>
      <c r="C36" s="11"/>
    </row>
    <row r="37" spans="1:4" x14ac:dyDescent="0.2">
      <c r="A37" s="1">
        <v>60</v>
      </c>
      <c r="B37" s="7" t="s">
        <v>855</v>
      </c>
      <c r="C37" s="11" t="s">
        <v>249</v>
      </c>
    </row>
    <row r="38" spans="1:4" ht="51" x14ac:dyDescent="0.2">
      <c r="A38" s="1">
        <v>61</v>
      </c>
      <c r="B38" s="7" t="s">
        <v>250</v>
      </c>
      <c r="C38" s="11" t="s">
        <v>1769</v>
      </c>
    </row>
    <row r="39" spans="1:4" x14ac:dyDescent="0.2">
      <c r="A39" s="1">
        <v>62</v>
      </c>
      <c r="B39" s="7" t="s">
        <v>251</v>
      </c>
      <c r="C39" s="11"/>
    </row>
    <row r="40" spans="1:4" ht="51" x14ac:dyDescent="0.2">
      <c r="A40" s="1">
        <v>63</v>
      </c>
      <c r="B40" s="7" t="s">
        <v>860</v>
      </c>
      <c r="C40" s="11" t="s">
        <v>252</v>
      </c>
    </row>
    <row r="41" spans="1:4" x14ac:dyDescent="0.2">
      <c r="A41" s="1">
        <v>65</v>
      </c>
      <c r="B41" s="7" t="s">
        <v>253</v>
      </c>
      <c r="C41" s="11"/>
    </row>
    <row r="42" spans="1:4" x14ac:dyDescent="0.2">
      <c r="A42" s="1">
        <v>66</v>
      </c>
      <c r="B42" s="7" t="s">
        <v>254</v>
      </c>
      <c r="C42" s="11" t="s">
        <v>59</v>
      </c>
    </row>
    <row r="43" spans="1:4" x14ac:dyDescent="0.2">
      <c r="A43" s="1">
        <v>67</v>
      </c>
      <c r="B43" s="7" t="s">
        <v>862</v>
      </c>
      <c r="C43" s="11" t="s">
        <v>255</v>
      </c>
    </row>
    <row r="44" spans="1:4" x14ac:dyDescent="0.2">
      <c r="A44" s="1"/>
      <c r="B44" s="7" t="s">
        <v>256</v>
      </c>
      <c r="C44" s="11"/>
    </row>
    <row r="45" spans="1:4" x14ac:dyDescent="0.2">
      <c r="A45" s="1">
        <v>71</v>
      </c>
      <c r="B45" s="7" t="s">
        <v>257</v>
      </c>
      <c r="C45" s="11"/>
    </row>
    <row r="46" spans="1:4" x14ac:dyDescent="0.2">
      <c r="A46" s="1">
        <v>78</v>
      </c>
      <c r="B46" s="7" t="s">
        <v>865</v>
      </c>
      <c r="C46" s="11"/>
    </row>
    <row r="47" spans="1:4" x14ac:dyDescent="0.2">
      <c r="A47" s="1">
        <v>79</v>
      </c>
      <c r="B47" s="7" t="s">
        <v>867</v>
      </c>
      <c r="C47" s="11"/>
    </row>
    <row r="48" spans="1:4" ht="25.5" x14ac:dyDescent="0.2">
      <c r="A48" s="1">
        <v>82</v>
      </c>
      <c r="B48" s="7" t="s">
        <v>870</v>
      </c>
      <c r="C48" s="11" t="s">
        <v>258</v>
      </c>
    </row>
    <row r="49" spans="1:3" x14ac:dyDescent="0.2">
      <c r="A49" s="1">
        <v>83</v>
      </c>
      <c r="B49" s="7" t="s">
        <v>259</v>
      </c>
      <c r="C49" s="11"/>
    </row>
    <row r="50" spans="1:3" x14ac:dyDescent="0.2">
      <c r="A50" s="1">
        <v>84</v>
      </c>
      <c r="B50" s="7" t="s">
        <v>260</v>
      </c>
      <c r="C50" s="11" t="s">
        <v>261</v>
      </c>
    </row>
    <row r="51" spans="1:3" ht="51" x14ac:dyDescent="0.2">
      <c r="A51" s="1">
        <v>85</v>
      </c>
      <c r="B51" s="7" t="s">
        <v>262</v>
      </c>
      <c r="C51" s="11" t="s">
        <v>263</v>
      </c>
    </row>
    <row r="52" spans="1:3" ht="51" x14ac:dyDescent="0.2">
      <c r="A52" s="1">
        <v>86</v>
      </c>
      <c r="B52" s="7" t="s">
        <v>873</v>
      </c>
      <c r="C52" s="8" t="s">
        <v>264</v>
      </c>
    </row>
    <row r="53" spans="1:3" ht="25.5" x14ac:dyDescent="0.2">
      <c r="A53" s="1">
        <v>87</v>
      </c>
      <c r="B53" s="7" t="s">
        <v>876</v>
      </c>
      <c r="C53" s="11" t="s">
        <v>265</v>
      </c>
    </row>
    <row r="54" spans="1:3" ht="63.75" x14ac:dyDescent="0.2">
      <c r="A54" s="2">
        <v>89</v>
      </c>
      <c r="B54" s="7" t="s">
        <v>877</v>
      </c>
      <c r="C54" s="11" t="s">
        <v>644</v>
      </c>
    </row>
    <row r="55" spans="1:3" x14ac:dyDescent="0.2">
      <c r="A55" s="1">
        <v>94</v>
      </c>
      <c r="B55" s="7" t="s">
        <v>266</v>
      </c>
      <c r="C55" s="13"/>
    </row>
    <row r="56" spans="1:3" ht="63.75" x14ac:dyDescent="0.2">
      <c r="A56" s="2">
        <v>95</v>
      </c>
      <c r="B56" s="7" t="s">
        <v>4</v>
      </c>
      <c r="C56" s="11" t="s">
        <v>267</v>
      </c>
    </row>
    <row r="57" spans="1:3" x14ac:dyDescent="0.2">
      <c r="A57" s="1">
        <v>98</v>
      </c>
      <c r="B57" s="7" t="s">
        <v>268</v>
      </c>
      <c r="C57" s="11"/>
    </row>
    <row r="58" spans="1:3" x14ac:dyDescent="0.2">
      <c r="A58" s="1">
        <v>99</v>
      </c>
      <c r="B58" s="7" t="s">
        <v>881</v>
      </c>
      <c r="C58" s="11"/>
    </row>
    <row r="59" spans="1:3" x14ac:dyDescent="0.2">
      <c r="A59" s="1">
        <v>102</v>
      </c>
      <c r="B59" s="7" t="s">
        <v>883</v>
      </c>
      <c r="C59" s="11"/>
    </row>
    <row r="60" spans="1:3" x14ac:dyDescent="0.2">
      <c r="A60" s="1">
        <v>107</v>
      </c>
      <c r="B60" s="7" t="s">
        <v>5</v>
      </c>
      <c r="C60" s="11"/>
    </row>
    <row r="61" spans="1:3" ht="38.25" x14ac:dyDescent="0.2">
      <c r="A61" s="1">
        <v>110</v>
      </c>
      <c r="B61" s="7" t="s">
        <v>886</v>
      </c>
      <c r="C61" s="11" t="s">
        <v>269</v>
      </c>
    </row>
    <row r="62" spans="1:3" x14ac:dyDescent="0.2">
      <c r="A62" s="1">
        <v>111</v>
      </c>
      <c r="B62" s="7" t="s">
        <v>887</v>
      </c>
      <c r="C62" s="11"/>
    </row>
    <row r="63" spans="1:3" x14ac:dyDescent="0.2">
      <c r="A63" s="1">
        <v>112</v>
      </c>
      <c r="B63" s="7" t="s">
        <v>890</v>
      </c>
      <c r="C63" s="11" t="s">
        <v>270</v>
      </c>
    </row>
    <row r="64" spans="1:3" x14ac:dyDescent="0.2">
      <c r="A64" s="1">
        <v>113</v>
      </c>
      <c r="B64" s="7" t="s">
        <v>271</v>
      </c>
      <c r="C64" s="11"/>
    </row>
    <row r="65" spans="1:4" x14ac:dyDescent="0.2">
      <c r="A65" s="2">
        <v>114</v>
      </c>
      <c r="B65" s="7" t="s">
        <v>272</v>
      </c>
      <c r="C65" s="11" t="s">
        <v>59</v>
      </c>
    </row>
    <row r="66" spans="1:4" x14ac:dyDescent="0.2">
      <c r="A66" s="1">
        <v>116</v>
      </c>
      <c r="B66" s="7" t="s">
        <v>273</v>
      </c>
      <c r="C66" s="11" t="s">
        <v>59</v>
      </c>
    </row>
    <row r="67" spans="1:4" x14ac:dyDescent="0.2">
      <c r="A67" s="1">
        <v>117</v>
      </c>
      <c r="B67" s="7" t="s">
        <v>274</v>
      </c>
      <c r="C67" s="11"/>
    </row>
    <row r="68" spans="1:4" ht="63.75" x14ac:dyDescent="0.2">
      <c r="A68" s="1">
        <v>119</v>
      </c>
      <c r="B68" s="7" t="s">
        <v>893</v>
      </c>
      <c r="C68" s="11" t="s">
        <v>653</v>
      </c>
    </row>
    <row r="69" spans="1:4" ht="25.5" x14ac:dyDescent="0.2">
      <c r="A69" s="1">
        <v>124</v>
      </c>
      <c r="B69" s="7" t="s">
        <v>275</v>
      </c>
      <c r="C69" s="11" t="s">
        <v>1803</v>
      </c>
    </row>
    <row r="70" spans="1:4" x14ac:dyDescent="0.2">
      <c r="A70" s="1">
        <v>125</v>
      </c>
      <c r="B70" s="5" t="s">
        <v>894</v>
      </c>
      <c r="C70" s="11" t="s">
        <v>276</v>
      </c>
      <c r="D70" s="189" t="s">
        <v>895</v>
      </c>
    </row>
    <row r="71" spans="1:4" x14ac:dyDescent="0.2">
      <c r="A71" s="1">
        <v>127</v>
      </c>
      <c r="B71" s="5" t="s">
        <v>897</v>
      </c>
      <c r="C71" s="11"/>
    </row>
    <row r="72" spans="1:4" x14ac:dyDescent="0.2">
      <c r="A72" s="1">
        <v>140</v>
      </c>
      <c r="B72" s="5" t="s">
        <v>899</v>
      </c>
      <c r="C72" s="11"/>
    </row>
    <row r="73" spans="1:4" x14ac:dyDescent="0.2">
      <c r="A73" s="1">
        <v>144</v>
      </c>
      <c r="B73" s="5" t="s">
        <v>901</v>
      </c>
      <c r="C73" s="11"/>
    </row>
    <row r="74" spans="1:4" x14ac:dyDescent="0.2">
      <c r="A74" s="1">
        <v>146</v>
      </c>
      <c r="B74" s="5" t="s">
        <v>904</v>
      </c>
      <c r="C74" s="11"/>
    </row>
    <row r="75" spans="1:4" x14ac:dyDescent="0.2">
      <c r="A75" s="1">
        <v>147</v>
      </c>
      <c r="B75" s="5" t="s">
        <v>6</v>
      </c>
      <c r="C75" s="11"/>
    </row>
    <row r="76" spans="1:4" x14ac:dyDescent="0.2">
      <c r="A76" s="1">
        <v>158</v>
      </c>
      <c r="B76" s="5" t="s">
        <v>906</v>
      </c>
      <c r="C76" s="11" t="s">
        <v>277</v>
      </c>
    </row>
    <row r="77" spans="1:4" x14ac:dyDescent="0.2">
      <c r="A77" s="1">
        <v>159</v>
      </c>
      <c r="B77" s="7" t="s">
        <v>278</v>
      </c>
      <c r="C77" s="11" t="s">
        <v>279</v>
      </c>
    </row>
    <row r="78" spans="1:4" x14ac:dyDescent="0.2">
      <c r="A78" s="1">
        <v>163</v>
      </c>
      <c r="B78" s="7" t="s">
        <v>909</v>
      </c>
      <c r="C78" s="11"/>
    </row>
    <row r="79" spans="1:4" x14ac:dyDescent="0.2">
      <c r="A79" s="1">
        <v>165</v>
      </c>
      <c r="B79" s="7" t="s">
        <v>280</v>
      </c>
      <c r="C79" s="11" t="s">
        <v>59</v>
      </c>
    </row>
    <row r="80" spans="1:4" x14ac:dyDescent="0.2">
      <c r="A80" s="1">
        <v>172</v>
      </c>
      <c r="B80" s="7" t="s">
        <v>281</v>
      </c>
      <c r="C80" s="11" t="s">
        <v>282</v>
      </c>
    </row>
    <row r="81" spans="1:3" x14ac:dyDescent="0.2">
      <c r="A81" s="1">
        <v>173</v>
      </c>
      <c r="B81" s="5" t="s">
        <v>910</v>
      </c>
      <c r="C81" s="11"/>
    </row>
    <row r="82" spans="1:3" x14ac:dyDescent="0.2">
      <c r="A82" s="1">
        <v>174</v>
      </c>
      <c r="B82" s="7" t="s">
        <v>283</v>
      </c>
      <c r="C82" s="11"/>
    </row>
    <row r="83" spans="1:3" x14ac:dyDescent="0.2">
      <c r="A83" s="1">
        <v>176</v>
      </c>
      <c r="B83" s="7" t="s">
        <v>284</v>
      </c>
      <c r="C83" s="11" t="s">
        <v>59</v>
      </c>
    </row>
    <row r="84" spans="1:3" ht="25.5" x14ac:dyDescent="0.2">
      <c r="A84" s="1">
        <v>178</v>
      </c>
      <c r="B84" s="7" t="s">
        <v>914</v>
      </c>
      <c r="C84" s="11" t="s">
        <v>285</v>
      </c>
    </row>
    <row r="85" spans="1:3" x14ac:dyDescent="0.2">
      <c r="A85" s="1">
        <v>181</v>
      </c>
      <c r="B85" s="7" t="s">
        <v>286</v>
      </c>
      <c r="C85" s="11" t="s">
        <v>287</v>
      </c>
    </row>
    <row r="86" spans="1:3" x14ac:dyDescent="0.2">
      <c r="A86" s="1">
        <v>184</v>
      </c>
      <c r="B86" s="7" t="s">
        <v>7</v>
      </c>
      <c r="C86" s="11"/>
    </row>
    <row r="87" spans="1:3" ht="76.5" x14ac:dyDescent="0.2">
      <c r="A87" s="2">
        <v>188</v>
      </c>
      <c r="B87" s="5" t="s">
        <v>918</v>
      </c>
      <c r="C87" s="11" t="s">
        <v>288</v>
      </c>
    </row>
    <row r="88" spans="1:3" x14ac:dyDescent="0.2">
      <c r="A88" s="1">
        <v>189</v>
      </c>
      <c r="B88" s="7" t="s">
        <v>289</v>
      </c>
      <c r="C88" s="11"/>
    </row>
    <row r="89" spans="1:3" x14ac:dyDescent="0.2">
      <c r="A89" s="1">
        <v>191</v>
      </c>
      <c r="B89" s="7" t="s">
        <v>8</v>
      </c>
      <c r="C89" s="11" t="s">
        <v>290</v>
      </c>
    </row>
    <row r="90" spans="1:3" x14ac:dyDescent="0.2">
      <c r="A90" s="1">
        <v>192</v>
      </c>
      <c r="B90" s="5" t="s">
        <v>921</v>
      </c>
      <c r="C90" s="11"/>
    </row>
    <row r="91" spans="1:3" ht="25.5" x14ac:dyDescent="0.2">
      <c r="A91" s="1">
        <v>196</v>
      </c>
      <c r="B91" s="5" t="s">
        <v>923</v>
      </c>
      <c r="C91" s="11" t="s">
        <v>291</v>
      </c>
    </row>
    <row r="92" spans="1:3" x14ac:dyDescent="0.2">
      <c r="A92" s="1">
        <v>197</v>
      </c>
      <c r="B92" s="5" t="s">
        <v>925</v>
      </c>
      <c r="C92" s="11"/>
    </row>
    <row r="93" spans="1:3" x14ac:dyDescent="0.2">
      <c r="A93" s="1">
        <v>198</v>
      </c>
      <c r="B93" s="5" t="s">
        <v>928</v>
      </c>
      <c r="C93" s="11"/>
    </row>
    <row r="94" spans="1:3" x14ac:dyDescent="0.2">
      <c r="A94" s="1">
        <v>203</v>
      </c>
      <c r="B94" s="7" t="s">
        <v>292</v>
      </c>
      <c r="C94" s="11" t="s">
        <v>293</v>
      </c>
    </row>
    <row r="95" spans="1:3" ht="76.5" x14ac:dyDescent="0.2">
      <c r="A95" s="1">
        <v>206</v>
      </c>
      <c r="B95" s="7" t="s">
        <v>294</v>
      </c>
      <c r="C95" s="11" t="s">
        <v>1804</v>
      </c>
    </row>
    <row r="96" spans="1:3" x14ac:dyDescent="0.2">
      <c r="A96" s="1">
        <v>209</v>
      </c>
      <c r="B96" s="7" t="s">
        <v>295</v>
      </c>
      <c r="C96" s="11" t="s">
        <v>59</v>
      </c>
    </row>
    <row r="97" spans="1:4" x14ac:dyDescent="0.2">
      <c r="A97" s="2">
        <v>210</v>
      </c>
      <c r="B97" s="7" t="s">
        <v>296</v>
      </c>
      <c r="C97" s="11" t="s">
        <v>59</v>
      </c>
    </row>
    <row r="98" spans="1:4" ht="38.25" x14ac:dyDescent="0.2">
      <c r="A98" s="1">
        <v>211</v>
      </c>
      <c r="B98" s="7" t="s">
        <v>297</v>
      </c>
      <c r="C98" s="11" t="s">
        <v>298</v>
      </c>
    </row>
    <row r="99" spans="1:4" ht="38.25" x14ac:dyDescent="0.2">
      <c r="A99" s="1">
        <v>212</v>
      </c>
      <c r="B99" s="5" t="s">
        <v>931</v>
      </c>
      <c r="C99" s="11" t="s">
        <v>299</v>
      </c>
    </row>
    <row r="100" spans="1:4" x14ac:dyDescent="0.2">
      <c r="A100" s="1">
        <v>216</v>
      </c>
      <c r="B100" s="7" t="s">
        <v>300</v>
      </c>
      <c r="C100" s="11" t="s">
        <v>59</v>
      </c>
    </row>
    <row r="101" spans="1:4" x14ac:dyDescent="0.2">
      <c r="A101" s="1">
        <v>221</v>
      </c>
      <c r="B101" s="5" t="s">
        <v>9</v>
      </c>
      <c r="C101" s="11"/>
    </row>
    <row r="102" spans="1:4" ht="25.5" x14ac:dyDescent="0.2">
      <c r="A102" s="1">
        <v>224</v>
      </c>
      <c r="B102" s="7" t="s">
        <v>301</v>
      </c>
      <c r="C102" s="11" t="s">
        <v>302</v>
      </c>
    </row>
    <row r="103" spans="1:4" x14ac:dyDescent="0.2">
      <c r="A103" s="1">
        <v>226</v>
      </c>
      <c r="B103" s="7" t="s">
        <v>303</v>
      </c>
      <c r="C103" s="11" t="s">
        <v>304</v>
      </c>
    </row>
    <row r="104" spans="1:4" ht="63.75" x14ac:dyDescent="0.2">
      <c r="A104" s="1">
        <v>227</v>
      </c>
      <c r="B104" s="7" t="s">
        <v>936</v>
      </c>
      <c r="C104" s="11" t="s">
        <v>1775</v>
      </c>
    </row>
    <row r="105" spans="1:4" x14ac:dyDescent="0.2">
      <c r="A105" s="1">
        <v>231</v>
      </c>
      <c r="B105" s="5" t="s">
        <v>937</v>
      </c>
      <c r="C105" s="11"/>
    </row>
    <row r="106" spans="1:4" x14ac:dyDescent="0.2">
      <c r="A106" s="1">
        <v>233</v>
      </c>
      <c r="B106" s="7" t="s">
        <v>305</v>
      </c>
      <c r="C106" s="11" t="s">
        <v>306</v>
      </c>
    </row>
    <row r="107" spans="1:4" x14ac:dyDescent="0.2">
      <c r="A107" s="1">
        <v>234</v>
      </c>
      <c r="B107" s="7" t="s">
        <v>10</v>
      </c>
      <c r="C107" s="11"/>
    </row>
    <row r="108" spans="1:4" x14ac:dyDescent="0.2">
      <c r="A108" s="2">
        <v>236</v>
      </c>
      <c r="B108" s="7" t="s">
        <v>942</v>
      </c>
      <c r="C108" s="11" t="s">
        <v>307</v>
      </c>
    </row>
    <row r="109" spans="1:4" x14ac:dyDescent="0.2">
      <c r="A109" s="1">
        <v>237</v>
      </c>
      <c r="B109" s="5" t="s">
        <v>944</v>
      </c>
      <c r="C109" s="11"/>
    </row>
    <row r="110" spans="1:4" x14ac:dyDescent="0.2">
      <c r="A110" s="1">
        <v>239</v>
      </c>
      <c r="B110" s="7" t="s">
        <v>308</v>
      </c>
      <c r="C110" s="11"/>
    </row>
    <row r="111" spans="1:4" ht="51" x14ac:dyDescent="0.2">
      <c r="A111" s="1">
        <v>244</v>
      </c>
      <c r="B111" s="7" t="s">
        <v>948</v>
      </c>
      <c r="C111" s="11" t="s">
        <v>309</v>
      </c>
      <c r="D111" s="189" t="s">
        <v>949</v>
      </c>
    </row>
    <row r="112" spans="1:4" x14ac:dyDescent="0.2">
      <c r="A112" s="1">
        <v>245</v>
      </c>
      <c r="B112" s="7" t="s">
        <v>310</v>
      </c>
      <c r="C112" s="11" t="s">
        <v>59</v>
      </c>
    </row>
    <row r="113" spans="1:3" x14ac:dyDescent="0.2">
      <c r="A113" s="1">
        <v>248</v>
      </c>
      <c r="B113" s="7" t="s">
        <v>311</v>
      </c>
      <c r="C113" s="11" t="s">
        <v>59</v>
      </c>
    </row>
    <row r="114" spans="1:3" x14ac:dyDescent="0.2">
      <c r="A114" s="1">
        <v>251</v>
      </c>
      <c r="B114" s="5" t="s">
        <v>950</v>
      </c>
      <c r="C114" s="11"/>
    </row>
    <row r="115" spans="1:3" ht="114.75" x14ac:dyDescent="0.2">
      <c r="A115" s="1">
        <v>252</v>
      </c>
      <c r="B115" s="7" t="s">
        <v>954</v>
      </c>
      <c r="C115" s="11" t="s">
        <v>1805</v>
      </c>
    </row>
    <row r="116" spans="1:3" x14ac:dyDescent="0.2">
      <c r="A116" s="1">
        <v>253</v>
      </c>
      <c r="B116" s="7" t="s">
        <v>312</v>
      </c>
      <c r="C116" s="11"/>
    </row>
    <row r="117" spans="1:3" ht="153" x14ac:dyDescent="0.2">
      <c r="A117" s="2">
        <v>255</v>
      </c>
      <c r="B117" s="7" t="s">
        <v>957</v>
      </c>
      <c r="C117" s="11" t="s">
        <v>1785</v>
      </c>
    </row>
    <row r="118" spans="1:3" ht="38.25" x14ac:dyDescent="0.2">
      <c r="A118" s="1">
        <v>256</v>
      </c>
      <c r="B118" s="5" t="s">
        <v>959</v>
      </c>
      <c r="C118" s="11" t="s">
        <v>313</v>
      </c>
    </row>
    <row r="119" spans="1:3" x14ac:dyDescent="0.2">
      <c r="A119" s="1">
        <v>257</v>
      </c>
      <c r="B119" s="7" t="s">
        <v>963</v>
      </c>
      <c r="C119" s="11" t="s">
        <v>314</v>
      </c>
    </row>
    <row r="120" spans="1:3" x14ac:dyDescent="0.2">
      <c r="A120" s="1">
        <v>258</v>
      </c>
      <c r="B120" s="7" t="s">
        <v>965</v>
      </c>
      <c r="C120" s="11"/>
    </row>
    <row r="121" spans="1:3" x14ac:dyDescent="0.2">
      <c r="A121" s="1">
        <v>261</v>
      </c>
      <c r="B121" s="7" t="s">
        <v>315</v>
      </c>
      <c r="C121" s="11" t="s">
        <v>307</v>
      </c>
    </row>
    <row r="122" spans="1:3" x14ac:dyDescent="0.2">
      <c r="A122" s="1">
        <v>262</v>
      </c>
      <c r="B122" s="7" t="s">
        <v>316</v>
      </c>
      <c r="C122" s="11" t="s">
        <v>317</v>
      </c>
    </row>
    <row r="123" spans="1:3" x14ac:dyDescent="0.2">
      <c r="A123" s="1">
        <v>265</v>
      </c>
      <c r="B123" s="7" t="s">
        <v>318</v>
      </c>
      <c r="C123" s="11"/>
    </row>
    <row r="124" spans="1:3" ht="25.5" x14ac:dyDescent="0.2">
      <c r="A124" s="1">
        <v>266</v>
      </c>
      <c r="B124" s="7" t="s">
        <v>972</v>
      </c>
      <c r="C124" s="14" t="s">
        <v>319</v>
      </c>
    </row>
    <row r="125" spans="1:3" x14ac:dyDescent="0.2">
      <c r="A125" s="1">
        <v>267</v>
      </c>
      <c r="B125" s="7" t="s">
        <v>973</v>
      </c>
      <c r="C125" s="14"/>
    </row>
    <row r="126" spans="1:3" x14ac:dyDescent="0.2">
      <c r="A126" s="1">
        <v>269</v>
      </c>
      <c r="B126" s="5" t="s">
        <v>975</v>
      </c>
      <c r="C126" s="14"/>
    </row>
    <row r="127" spans="1:3" x14ac:dyDescent="0.2">
      <c r="A127" s="1">
        <v>270</v>
      </c>
      <c r="B127" s="7" t="s">
        <v>320</v>
      </c>
      <c r="C127" s="11"/>
    </row>
    <row r="128" spans="1:3" x14ac:dyDescent="0.2">
      <c r="A128" s="1">
        <v>273</v>
      </c>
      <c r="B128" s="7" t="s">
        <v>321</v>
      </c>
      <c r="C128" s="11"/>
    </row>
    <row r="129" spans="1:3" x14ac:dyDescent="0.2">
      <c r="A129" s="1">
        <v>274</v>
      </c>
      <c r="B129" s="7" t="s">
        <v>322</v>
      </c>
      <c r="C129" s="11"/>
    </row>
    <row r="130" spans="1:3" x14ac:dyDescent="0.2">
      <c r="A130" s="1">
        <v>278</v>
      </c>
      <c r="B130" s="7" t="s">
        <v>323</v>
      </c>
      <c r="C130" s="11"/>
    </row>
    <row r="131" spans="1:3" x14ac:dyDescent="0.2">
      <c r="A131" s="1">
        <v>281</v>
      </c>
      <c r="B131" s="7" t="s">
        <v>978</v>
      </c>
      <c r="C131" s="11"/>
    </row>
    <row r="132" spans="1:3" x14ac:dyDescent="0.2">
      <c r="A132" s="1">
        <v>283</v>
      </c>
      <c r="B132" s="7" t="s">
        <v>324</v>
      </c>
      <c r="C132" s="11"/>
    </row>
    <row r="133" spans="1:3" x14ac:dyDescent="0.2">
      <c r="A133" s="1">
        <v>285</v>
      </c>
      <c r="B133" s="7" t="s">
        <v>11</v>
      </c>
      <c r="C133" s="11" t="s">
        <v>325</v>
      </c>
    </row>
    <row r="134" spans="1:3" x14ac:dyDescent="0.2">
      <c r="A134" s="1">
        <v>288</v>
      </c>
      <c r="B134" s="7" t="s">
        <v>326</v>
      </c>
      <c r="C134" s="11"/>
    </row>
    <row r="135" spans="1:3" x14ac:dyDescent="0.2">
      <c r="A135" s="1">
        <v>289</v>
      </c>
      <c r="B135" s="7" t="s">
        <v>327</v>
      </c>
      <c r="C135" s="11"/>
    </row>
    <row r="136" spans="1:3" x14ac:dyDescent="0.2">
      <c r="A136" s="1">
        <v>295</v>
      </c>
      <c r="B136" s="7" t="s">
        <v>328</v>
      </c>
      <c r="C136" s="11"/>
    </row>
    <row r="137" spans="1:3" x14ac:dyDescent="0.2">
      <c r="A137" s="1">
        <v>296</v>
      </c>
      <c r="B137" s="5" t="s">
        <v>980</v>
      </c>
      <c r="C137" s="11" t="s">
        <v>329</v>
      </c>
    </row>
    <row r="138" spans="1:3" ht="25.5" x14ac:dyDescent="0.2">
      <c r="A138" s="1">
        <v>297</v>
      </c>
      <c r="B138" s="7" t="s">
        <v>984</v>
      </c>
      <c r="C138" s="11" t="s">
        <v>330</v>
      </c>
    </row>
    <row r="139" spans="1:3" x14ac:dyDescent="0.2">
      <c r="A139" s="1">
        <v>306</v>
      </c>
      <c r="B139" s="7" t="s">
        <v>988</v>
      </c>
      <c r="C139" s="11"/>
    </row>
    <row r="140" spans="1:3" x14ac:dyDescent="0.2">
      <c r="A140" s="1">
        <v>307</v>
      </c>
      <c r="B140" s="7" t="s">
        <v>986</v>
      </c>
      <c r="C140" s="11"/>
    </row>
    <row r="141" spans="1:3" x14ac:dyDescent="0.2">
      <c r="A141" s="1">
        <v>309</v>
      </c>
      <c r="B141" s="5" t="s">
        <v>989</v>
      </c>
      <c r="C141" s="11" t="s">
        <v>307</v>
      </c>
    </row>
    <row r="142" spans="1:3" x14ac:dyDescent="0.2">
      <c r="A142" s="1">
        <v>310</v>
      </c>
      <c r="B142" s="7" t="s">
        <v>993</v>
      </c>
      <c r="C142" s="11" t="s">
        <v>331</v>
      </c>
    </row>
    <row r="143" spans="1:3" x14ac:dyDescent="0.2">
      <c r="A143" s="1">
        <v>311</v>
      </c>
      <c r="B143" s="7" t="s">
        <v>12</v>
      </c>
      <c r="C143" s="11" t="s">
        <v>332</v>
      </c>
    </row>
    <row r="144" spans="1:3" ht="51" x14ac:dyDescent="0.2">
      <c r="A144" s="1">
        <v>312</v>
      </c>
      <c r="B144" s="5" t="s">
        <v>996</v>
      </c>
      <c r="C144" s="11" t="s">
        <v>333</v>
      </c>
    </row>
    <row r="145" spans="1:3" x14ac:dyDescent="0.2">
      <c r="A145" s="1">
        <v>313</v>
      </c>
      <c r="B145" s="7" t="s">
        <v>334</v>
      </c>
      <c r="C145" s="11" t="s">
        <v>335</v>
      </c>
    </row>
    <row r="146" spans="1:3" x14ac:dyDescent="0.2">
      <c r="A146" s="1">
        <v>314</v>
      </c>
      <c r="B146" s="7" t="s">
        <v>336</v>
      </c>
      <c r="C146" s="11"/>
    </row>
    <row r="147" spans="1:3" ht="25.5" x14ac:dyDescent="0.2">
      <c r="A147" s="1">
        <v>315</v>
      </c>
      <c r="B147" s="5" t="s">
        <v>998</v>
      </c>
      <c r="C147" s="11" t="s">
        <v>1806</v>
      </c>
    </row>
    <row r="148" spans="1:3" ht="38.25" x14ac:dyDescent="0.2">
      <c r="A148" s="1">
        <v>316</v>
      </c>
      <c r="B148" s="5" t="s">
        <v>1000</v>
      </c>
      <c r="C148" s="11" t="s">
        <v>1807</v>
      </c>
    </row>
    <row r="149" spans="1:3" ht="25.5" x14ac:dyDescent="0.2">
      <c r="A149" s="1">
        <v>319</v>
      </c>
      <c r="B149" s="7" t="s">
        <v>337</v>
      </c>
      <c r="C149" s="11" t="s">
        <v>338</v>
      </c>
    </row>
    <row r="150" spans="1:3" x14ac:dyDescent="0.2">
      <c r="A150" s="1">
        <v>323</v>
      </c>
      <c r="B150" s="5" t="s">
        <v>1002</v>
      </c>
      <c r="C150" s="11"/>
    </row>
    <row r="151" spans="1:3" x14ac:dyDescent="0.2">
      <c r="A151" s="1">
        <v>324</v>
      </c>
      <c r="B151" s="7" t="s">
        <v>339</v>
      </c>
      <c r="C151" s="11" t="s">
        <v>340</v>
      </c>
    </row>
    <row r="152" spans="1:3" x14ac:dyDescent="0.2">
      <c r="A152" s="1">
        <v>325</v>
      </c>
      <c r="B152" s="7" t="s">
        <v>341</v>
      </c>
      <c r="C152" s="11" t="s">
        <v>342</v>
      </c>
    </row>
    <row r="153" spans="1:3" x14ac:dyDescent="0.2">
      <c r="A153" s="1">
        <v>326</v>
      </c>
      <c r="B153" s="7" t="s">
        <v>343</v>
      </c>
      <c r="C153" s="11" t="s">
        <v>59</v>
      </c>
    </row>
    <row r="154" spans="1:3" x14ac:dyDescent="0.2">
      <c r="A154" s="1">
        <v>327</v>
      </c>
      <c r="B154" s="7" t="s">
        <v>344</v>
      </c>
      <c r="C154" s="11" t="s">
        <v>307</v>
      </c>
    </row>
    <row r="155" spans="1:3" x14ac:dyDescent="0.2">
      <c r="A155" s="1">
        <v>328</v>
      </c>
      <c r="B155" s="7" t="s">
        <v>345</v>
      </c>
      <c r="C155" s="11" t="s">
        <v>307</v>
      </c>
    </row>
    <row r="156" spans="1:3" x14ac:dyDescent="0.2">
      <c r="A156" s="1">
        <v>329</v>
      </c>
      <c r="B156" s="7" t="s">
        <v>1005</v>
      </c>
      <c r="C156" s="11"/>
    </row>
    <row r="157" spans="1:3" x14ac:dyDescent="0.2">
      <c r="A157" s="1">
        <v>334</v>
      </c>
      <c r="B157" s="7" t="s">
        <v>346</v>
      </c>
      <c r="C157" s="11"/>
    </row>
    <row r="158" spans="1:3" x14ac:dyDescent="0.2">
      <c r="A158" s="1">
        <v>338</v>
      </c>
      <c r="B158" s="5" t="s">
        <v>1006</v>
      </c>
      <c r="C158" s="11"/>
    </row>
    <row r="159" spans="1:3" x14ac:dyDescent="0.2">
      <c r="A159" s="1">
        <v>339</v>
      </c>
      <c r="B159" s="5" t="s">
        <v>1009</v>
      </c>
      <c r="C159" s="11"/>
    </row>
    <row r="160" spans="1:3" x14ac:dyDescent="0.2">
      <c r="A160" s="1">
        <v>340</v>
      </c>
      <c r="B160" s="5" t="s">
        <v>1011</v>
      </c>
      <c r="C160" s="11"/>
    </row>
    <row r="161" spans="1:3" ht="25.5" x14ac:dyDescent="0.2">
      <c r="A161" s="1">
        <v>341</v>
      </c>
      <c r="B161" s="7" t="s">
        <v>13</v>
      </c>
      <c r="C161" s="13" t="s">
        <v>347</v>
      </c>
    </row>
    <row r="162" spans="1:3" ht="114.75" x14ac:dyDescent="0.2">
      <c r="A162" s="1">
        <v>342</v>
      </c>
      <c r="B162" s="5" t="s">
        <v>1013</v>
      </c>
      <c r="C162" s="11" t="s">
        <v>1808</v>
      </c>
    </row>
    <row r="163" spans="1:3" x14ac:dyDescent="0.2">
      <c r="A163" s="1">
        <v>343</v>
      </c>
      <c r="B163" s="7" t="s">
        <v>348</v>
      </c>
      <c r="C163" s="11" t="s">
        <v>59</v>
      </c>
    </row>
    <row r="164" spans="1:3" x14ac:dyDescent="0.2">
      <c r="A164" s="1">
        <v>344</v>
      </c>
      <c r="B164" s="7" t="s">
        <v>349</v>
      </c>
      <c r="C164" s="11"/>
    </row>
    <row r="165" spans="1:3" ht="114.75" x14ac:dyDescent="0.2">
      <c r="A165" s="1">
        <v>346</v>
      </c>
      <c r="B165" s="5" t="s">
        <v>1015</v>
      </c>
      <c r="C165" s="11" t="s">
        <v>1711</v>
      </c>
    </row>
    <row r="166" spans="1:3" x14ac:dyDescent="0.2">
      <c r="A166" s="1">
        <v>347</v>
      </c>
      <c r="B166" s="7" t="s">
        <v>350</v>
      </c>
      <c r="C166" s="11" t="s">
        <v>59</v>
      </c>
    </row>
    <row r="167" spans="1:3" ht="89.25" x14ac:dyDescent="0.2">
      <c r="A167" s="1">
        <v>349</v>
      </c>
      <c r="B167" s="7" t="s">
        <v>351</v>
      </c>
      <c r="C167" s="11" t="s">
        <v>1809</v>
      </c>
    </row>
    <row r="168" spans="1:3" ht="63.75" x14ac:dyDescent="0.2">
      <c r="A168" s="1">
        <v>352</v>
      </c>
      <c r="B168" s="7" t="s">
        <v>1019</v>
      </c>
      <c r="C168" s="11" t="s">
        <v>352</v>
      </c>
    </row>
    <row r="169" spans="1:3" ht="25.5" x14ac:dyDescent="0.2">
      <c r="A169" s="1">
        <v>354</v>
      </c>
      <c r="B169" s="7" t="s">
        <v>1021</v>
      </c>
      <c r="C169" s="11" t="s">
        <v>353</v>
      </c>
    </row>
    <row r="170" spans="1:3" ht="153" x14ac:dyDescent="0.2">
      <c r="A170" s="1">
        <v>355</v>
      </c>
      <c r="B170" s="7" t="s">
        <v>354</v>
      </c>
      <c r="C170" s="11" t="s">
        <v>355</v>
      </c>
    </row>
    <row r="171" spans="1:3" x14ac:dyDescent="0.2">
      <c r="A171" s="1">
        <v>356</v>
      </c>
      <c r="B171" s="7" t="s">
        <v>1023</v>
      </c>
      <c r="C171" s="11" t="s">
        <v>356</v>
      </c>
    </row>
    <row r="172" spans="1:3" x14ac:dyDescent="0.2">
      <c r="A172" s="1">
        <v>359</v>
      </c>
      <c r="B172" s="7" t="s">
        <v>357</v>
      </c>
      <c r="C172" s="11"/>
    </row>
    <row r="173" spans="1:3" x14ac:dyDescent="0.2">
      <c r="A173" s="1">
        <v>361</v>
      </c>
      <c r="B173" s="7" t="s">
        <v>358</v>
      </c>
      <c r="C173" s="11" t="s">
        <v>59</v>
      </c>
    </row>
    <row r="174" spans="1:3" x14ac:dyDescent="0.2">
      <c r="A174" s="1">
        <v>362</v>
      </c>
      <c r="B174" s="7" t="s">
        <v>359</v>
      </c>
      <c r="C174" s="11" t="s">
        <v>59</v>
      </c>
    </row>
    <row r="175" spans="1:3" x14ac:dyDescent="0.2">
      <c r="A175" s="1">
        <v>364</v>
      </c>
      <c r="B175" s="7" t="s">
        <v>360</v>
      </c>
      <c r="C175" s="11"/>
    </row>
    <row r="176" spans="1:3" x14ac:dyDescent="0.2">
      <c r="A176" s="1">
        <v>365</v>
      </c>
      <c r="B176" s="5" t="s">
        <v>1024</v>
      </c>
      <c r="C176" s="12" t="s">
        <v>237</v>
      </c>
    </row>
    <row r="177" spans="1:3" x14ac:dyDescent="0.2">
      <c r="A177" s="1">
        <v>368</v>
      </c>
      <c r="B177" s="7" t="s">
        <v>361</v>
      </c>
      <c r="C177" s="11" t="s">
        <v>58</v>
      </c>
    </row>
    <row r="178" spans="1:3" ht="25.5" x14ac:dyDescent="0.2">
      <c r="A178" s="1">
        <v>369</v>
      </c>
      <c r="B178" s="7" t="s">
        <v>1028</v>
      </c>
      <c r="C178" s="11" t="s">
        <v>362</v>
      </c>
    </row>
    <row r="179" spans="1:3" x14ac:dyDescent="0.2">
      <c r="A179" s="1">
        <v>370</v>
      </c>
      <c r="B179" s="7" t="s">
        <v>363</v>
      </c>
      <c r="C179" s="11" t="s">
        <v>356</v>
      </c>
    </row>
    <row r="180" spans="1:3" x14ac:dyDescent="0.2">
      <c r="A180" s="1">
        <v>371</v>
      </c>
      <c r="B180" s="7" t="s">
        <v>364</v>
      </c>
      <c r="C180" s="11" t="s">
        <v>356</v>
      </c>
    </row>
    <row r="181" spans="1:3" ht="25.5" x14ac:dyDescent="0.2">
      <c r="A181" s="1">
        <v>372</v>
      </c>
      <c r="B181" s="7" t="s">
        <v>365</v>
      </c>
      <c r="C181" s="11" t="s">
        <v>366</v>
      </c>
    </row>
    <row r="182" spans="1:3" x14ac:dyDescent="0.2">
      <c r="A182" s="1">
        <v>373</v>
      </c>
      <c r="B182" s="7" t="s">
        <v>367</v>
      </c>
      <c r="C182" s="11" t="s">
        <v>368</v>
      </c>
    </row>
    <row r="183" spans="1:3" x14ac:dyDescent="0.2">
      <c r="A183" s="1">
        <v>374</v>
      </c>
      <c r="B183" s="5" t="s">
        <v>1029</v>
      </c>
      <c r="C183" s="11"/>
    </row>
    <row r="184" spans="1:3" x14ac:dyDescent="0.2">
      <c r="A184" s="1">
        <v>375</v>
      </c>
      <c r="B184" s="7" t="s">
        <v>369</v>
      </c>
      <c r="C184" s="11"/>
    </row>
    <row r="185" spans="1:3" x14ac:dyDescent="0.2">
      <c r="A185" s="1">
        <v>376</v>
      </c>
      <c r="B185" s="7" t="s">
        <v>14</v>
      </c>
      <c r="C185" s="11" t="s">
        <v>356</v>
      </c>
    </row>
    <row r="186" spans="1:3" x14ac:dyDescent="0.2">
      <c r="A186" s="1">
        <v>377</v>
      </c>
      <c r="B186" s="7" t="s">
        <v>370</v>
      </c>
      <c r="C186" s="11" t="s">
        <v>59</v>
      </c>
    </row>
    <row r="187" spans="1:3" x14ac:dyDescent="0.2">
      <c r="A187" s="1">
        <v>378</v>
      </c>
      <c r="B187" s="7" t="s">
        <v>371</v>
      </c>
      <c r="C187" s="11"/>
    </row>
    <row r="188" spans="1:3" ht="25.5" x14ac:dyDescent="0.2">
      <c r="A188" s="1">
        <v>379</v>
      </c>
      <c r="B188" s="7" t="s">
        <v>372</v>
      </c>
      <c r="C188" s="11" t="s">
        <v>373</v>
      </c>
    </row>
    <row r="189" spans="1:3" x14ac:dyDescent="0.2">
      <c r="A189" s="1">
        <v>380</v>
      </c>
      <c r="B189" s="5" t="s">
        <v>1034</v>
      </c>
      <c r="C189" s="11">
        <v>0</v>
      </c>
    </row>
    <row r="190" spans="1:3" x14ac:dyDescent="0.2">
      <c r="A190" s="1">
        <v>381</v>
      </c>
      <c r="B190" s="7" t="s">
        <v>374</v>
      </c>
      <c r="C190" s="11"/>
    </row>
    <row r="191" spans="1:3" x14ac:dyDescent="0.2">
      <c r="A191" s="1">
        <v>382</v>
      </c>
      <c r="B191" s="7" t="s">
        <v>375</v>
      </c>
      <c r="C191" s="11"/>
    </row>
    <row r="192" spans="1:3" x14ac:dyDescent="0.2">
      <c r="A192" s="1">
        <v>383</v>
      </c>
      <c r="B192" s="7" t="s">
        <v>376</v>
      </c>
      <c r="C192" s="11" t="s">
        <v>356</v>
      </c>
    </row>
    <row r="193" spans="1:3" x14ac:dyDescent="0.2">
      <c r="A193" s="1">
        <v>384</v>
      </c>
      <c r="B193" s="7" t="s">
        <v>377</v>
      </c>
      <c r="C193" s="11"/>
    </row>
    <row r="194" spans="1:3" ht="51" x14ac:dyDescent="0.2">
      <c r="A194" s="1">
        <v>385</v>
      </c>
      <c r="B194" s="7" t="s">
        <v>1037</v>
      </c>
      <c r="C194" s="11" t="s">
        <v>378</v>
      </c>
    </row>
    <row r="195" spans="1:3" ht="38.25" x14ac:dyDescent="0.2">
      <c r="A195" s="1">
        <v>386</v>
      </c>
      <c r="B195" s="5" t="s">
        <v>1039</v>
      </c>
      <c r="C195" s="11" t="s">
        <v>379</v>
      </c>
    </row>
    <row r="196" spans="1:3" x14ac:dyDescent="0.2">
      <c r="A196" s="1">
        <v>387</v>
      </c>
      <c r="B196" s="7" t="s">
        <v>380</v>
      </c>
      <c r="C196" s="11"/>
    </row>
    <row r="197" spans="1:3" x14ac:dyDescent="0.2">
      <c r="A197" s="1">
        <v>388</v>
      </c>
      <c r="B197" s="5" t="s">
        <v>1040</v>
      </c>
      <c r="C197" s="11" t="s">
        <v>381</v>
      </c>
    </row>
    <row r="198" spans="1:3" x14ac:dyDescent="0.2">
      <c r="A198" s="1">
        <v>389</v>
      </c>
      <c r="B198" s="7" t="s">
        <v>382</v>
      </c>
      <c r="C198" s="11"/>
    </row>
    <row r="199" spans="1:3" x14ac:dyDescent="0.2">
      <c r="A199" s="1">
        <v>390</v>
      </c>
      <c r="B199" s="7" t="s">
        <v>383</v>
      </c>
      <c r="C199" s="11"/>
    </row>
    <row r="200" spans="1:3" x14ac:dyDescent="0.2">
      <c r="A200" s="1">
        <v>391</v>
      </c>
      <c r="B200" s="7" t="s">
        <v>384</v>
      </c>
      <c r="C200" s="11"/>
    </row>
    <row r="201" spans="1:3" x14ac:dyDescent="0.2">
      <c r="A201" s="1">
        <v>392</v>
      </c>
      <c r="B201" s="7" t="s">
        <v>15</v>
      </c>
      <c r="C201" s="11" t="s">
        <v>356</v>
      </c>
    </row>
    <row r="202" spans="1:3" ht="25.5" x14ac:dyDescent="0.2">
      <c r="A202" s="1">
        <v>393</v>
      </c>
      <c r="B202" s="7" t="s">
        <v>385</v>
      </c>
      <c r="C202" s="11"/>
    </row>
    <row r="203" spans="1:3" x14ac:dyDescent="0.2">
      <c r="A203" s="1">
        <v>395</v>
      </c>
      <c r="B203" s="7" t="s">
        <v>386</v>
      </c>
      <c r="C203" s="11" t="s">
        <v>387</v>
      </c>
    </row>
    <row r="204" spans="1:3" x14ac:dyDescent="0.2">
      <c r="A204" s="1">
        <v>396</v>
      </c>
      <c r="B204" s="7" t="s">
        <v>388</v>
      </c>
      <c r="C204" s="11" t="s">
        <v>389</v>
      </c>
    </row>
    <row r="205" spans="1:3" x14ac:dyDescent="0.2">
      <c r="A205" s="1">
        <v>397</v>
      </c>
      <c r="B205" s="190" t="s">
        <v>1043</v>
      </c>
      <c r="C205" s="11" t="s">
        <v>390</v>
      </c>
    </row>
    <row r="206" spans="1:3" x14ac:dyDescent="0.2">
      <c r="A206" s="1">
        <v>400</v>
      </c>
      <c r="B206" s="7" t="s">
        <v>391</v>
      </c>
      <c r="C206" s="11" t="s">
        <v>392</v>
      </c>
    </row>
    <row r="207" spans="1:3" x14ac:dyDescent="0.2">
      <c r="A207" s="1">
        <v>401</v>
      </c>
      <c r="B207" s="7" t="s">
        <v>1047</v>
      </c>
      <c r="C207" s="11"/>
    </row>
    <row r="208" spans="1:3" x14ac:dyDescent="0.2">
      <c r="A208" s="1">
        <v>402</v>
      </c>
      <c r="B208" s="5" t="s">
        <v>1049</v>
      </c>
      <c r="C208" s="11" t="s">
        <v>393</v>
      </c>
    </row>
    <row r="209" spans="1:3" x14ac:dyDescent="0.2">
      <c r="A209" s="1">
        <v>403</v>
      </c>
      <c r="B209" s="191" t="s">
        <v>1053</v>
      </c>
      <c r="C209" s="11" t="s">
        <v>394</v>
      </c>
    </row>
    <row r="210" spans="1:3" x14ac:dyDescent="0.2">
      <c r="A210" s="1">
        <v>404</v>
      </c>
      <c r="B210" s="5" t="s">
        <v>1054</v>
      </c>
      <c r="C210" s="11" t="s">
        <v>59</v>
      </c>
    </row>
    <row r="211" spans="1:3" x14ac:dyDescent="0.2">
      <c r="A211" s="1">
        <v>405</v>
      </c>
      <c r="B211" s="190" t="s">
        <v>1056</v>
      </c>
      <c r="C211" s="11" t="s">
        <v>395</v>
      </c>
    </row>
    <row r="212" spans="1:3" x14ac:dyDescent="0.2">
      <c r="A212" s="1">
        <v>406</v>
      </c>
      <c r="B212" s="5" t="s">
        <v>1058</v>
      </c>
      <c r="C212" s="11"/>
    </row>
    <row r="213" spans="1:3" ht="204" x14ac:dyDescent="0.2">
      <c r="A213" s="1">
        <v>407</v>
      </c>
      <c r="B213" s="7" t="s">
        <v>396</v>
      </c>
      <c r="C213" s="11" t="s">
        <v>1810</v>
      </c>
    </row>
    <row r="214" spans="1:3" x14ac:dyDescent="0.2">
      <c r="A214" s="1">
        <v>408</v>
      </c>
      <c r="B214" s="5" t="s">
        <v>1062</v>
      </c>
      <c r="C214" s="11" t="s">
        <v>397</v>
      </c>
    </row>
    <row r="215" spans="1:3" x14ac:dyDescent="0.2">
      <c r="A215" s="1">
        <v>409</v>
      </c>
      <c r="B215" s="7" t="s">
        <v>398</v>
      </c>
      <c r="C215" s="11" t="s">
        <v>59</v>
      </c>
    </row>
    <row r="216" spans="1:3" x14ac:dyDescent="0.2">
      <c r="A216" s="1">
        <v>410</v>
      </c>
      <c r="B216" s="7" t="s">
        <v>1065</v>
      </c>
      <c r="C216" s="11" t="s">
        <v>277</v>
      </c>
    </row>
    <row r="217" spans="1:3" x14ac:dyDescent="0.2">
      <c r="A217" s="1">
        <v>411</v>
      </c>
      <c r="B217" s="7" t="s">
        <v>1066</v>
      </c>
      <c r="C217" s="11" t="s">
        <v>399</v>
      </c>
    </row>
    <row r="218" spans="1:3" x14ac:dyDescent="0.2">
      <c r="A218" s="1">
        <v>412</v>
      </c>
      <c r="B218" s="7" t="s">
        <v>1069</v>
      </c>
      <c r="C218" s="11"/>
    </row>
    <row r="219" spans="1:3" x14ac:dyDescent="0.2">
      <c r="A219" s="1">
        <v>413</v>
      </c>
      <c r="B219" s="7" t="s">
        <v>1071</v>
      </c>
      <c r="C219" s="11"/>
    </row>
    <row r="220" spans="1:3" x14ac:dyDescent="0.2">
      <c r="A220" s="1">
        <v>414</v>
      </c>
      <c r="B220" s="7" t="s">
        <v>400</v>
      </c>
      <c r="C220" s="11"/>
    </row>
    <row r="221" spans="1:3" x14ac:dyDescent="0.2">
      <c r="A221" s="1">
        <v>414</v>
      </c>
      <c r="B221" s="7" t="s">
        <v>400</v>
      </c>
      <c r="C221" s="11" t="s">
        <v>401</v>
      </c>
    </row>
    <row r="222" spans="1:3" x14ac:dyDescent="0.2">
      <c r="A222" s="1">
        <v>415</v>
      </c>
      <c r="B222" s="5" t="s">
        <v>1072</v>
      </c>
      <c r="C222" s="11"/>
    </row>
    <row r="223" spans="1:3" x14ac:dyDescent="0.2">
      <c r="A223" s="1">
        <v>416</v>
      </c>
      <c r="B223" s="7" t="s">
        <v>1074</v>
      </c>
      <c r="C223" s="11" t="s">
        <v>237</v>
      </c>
    </row>
    <row r="224" spans="1:3" ht="38.25" x14ac:dyDescent="0.2">
      <c r="A224" s="1">
        <v>417</v>
      </c>
      <c r="B224" s="5" t="s">
        <v>1077</v>
      </c>
      <c r="C224" s="11" t="s">
        <v>402</v>
      </c>
    </row>
    <row r="225" spans="1:3" x14ac:dyDescent="0.2">
      <c r="A225" s="1">
        <v>418</v>
      </c>
      <c r="B225" s="190" t="s">
        <v>1080</v>
      </c>
      <c r="C225" s="11"/>
    </row>
    <row r="226" spans="1:3" x14ac:dyDescent="0.2">
      <c r="A226" s="1">
        <v>419</v>
      </c>
      <c r="B226" s="5" t="s">
        <v>1081</v>
      </c>
      <c r="C226" s="11"/>
    </row>
    <row r="227" spans="1:3" x14ac:dyDescent="0.2">
      <c r="A227" s="1">
        <v>420</v>
      </c>
      <c r="B227" s="7" t="s">
        <v>403</v>
      </c>
      <c r="C227" s="11"/>
    </row>
    <row r="228" spans="1:3" x14ac:dyDescent="0.2">
      <c r="A228" s="1">
        <v>421</v>
      </c>
      <c r="B228" s="7" t="s">
        <v>404</v>
      </c>
      <c r="C228" s="11" t="s">
        <v>277</v>
      </c>
    </row>
    <row r="229" spans="1:3" ht="127.5" x14ac:dyDescent="0.2">
      <c r="A229" s="1">
        <v>422</v>
      </c>
      <c r="B229" s="5" t="s">
        <v>1084</v>
      </c>
      <c r="C229" s="11" t="s">
        <v>1791</v>
      </c>
    </row>
    <row r="230" spans="1:3" x14ac:dyDescent="0.2">
      <c r="A230" s="1">
        <v>423</v>
      </c>
      <c r="B230" s="7" t="s">
        <v>405</v>
      </c>
      <c r="C230" s="11" t="s">
        <v>406</v>
      </c>
    </row>
    <row r="231" spans="1:3" x14ac:dyDescent="0.2">
      <c r="A231" s="1">
        <v>424</v>
      </c>
      <c r="B231" s="7" t="s">
        <v>407</v>
      </c>
      <c r="C231" s="11"/>
    </row>
    <row r="232" spans="1:3" x14ac:dyDescent="0.2">
      <c r="A232" s="1">
        <v>425</v>
      </c>
      <c r="B232" s="7" t="s">
        <v>408</v>
      </c>
      <c r="C232" s="11"/>
    </row>
    <row r="233" spans="1:3" ht="25.5" x14ac:dyDescent="0.2">
      <c r="A233" s="1">
        <v>426</v>
      </c>
      <c r="B233" s="7" t="s">
        <v>409</v>
      </c>
      <c r="C233" s="11" t="s">
        <v>410</v>
      </c>
    </row>
    <row r="234" spans="1:3" x14ac:dyDescent="0.2">
      <c r="A234" s="1">
        <v>427</v>
      </c>
      <c r="B234" s="5" t="s">
        <v>1086</v>
      </c>
      <c r="C234" s="11" t="s">
        <v>411</v>
      </c>
    </row>
    <row r="235" spans="1:3" x14ac:dyDescent="0.2">
      <c r="A235" s="1">
        <v>428</v>
      </c>
      <c r="B235" s="7" t="s">
        <v>412</v>
      </c>
      <c r="C235" s="11"/>
    </row>
    <row r="236" spans="1:3" x14ac:dyDescent="0.2">
      <c r="A236" s="1">
        <v>429</v>
      </c>
      <c r="B236" s="7" t="s">
        <v>413</v>
      </c>
      <c r="C236" s="11"/>
    </row>
    <row r="237" spans="1:3" x14ac:dyDescent="0.2">
      <c r="A237" s="1">
        <v>431</v>
      </c>
      <c r="B237" s="7" t="s">
        <v>414</v>
      </c>
      <c r="C237" s="11" t="s">
        <v>277</v>
      </c>
    </row>
    <row r="238" spans="1:3" x14ac:dyDescent="0.2">
      <c r="A238" s="1">
        <v>432</v>
      </c>
      <c r="B238" s="7" t="s">
        <v>415</v>
      </c>
      <c r="C238" s="11" t="s">
        <v>416</v>
      </c>
    </row>
    <row r="239" spans="1:3" x14ac:dyDescent="0.2">
      <c r="A239" s="1">
        <v>433</v>
      </c>
      <c r="B239" s="7" t="s">
        <v>417</v>
      </c>
      <c r="C239" s="11" t="s">
        <v>277</v>
      </c>
    </row>
    <row r="240" spans="1:3" x14ac:dyDescent="0.2">
      <c r="A240" s="1">
        <v>434</v>
      </c>
      <c r="B240" s="7" t="s">
        <v>418</v>
      </c>
      <c r="C240" s="11"/>
    </row>
    <row r="241" spans="1:3" x14ac:dyDescent="0.2">
      <c r="A241" s="1">
        <v>435</v>
      </c>
      <c r="B241" s="7" t="s">
        <v>419</v>
      </c>
      <c r="C241" s="11" t="s">
        <v>277</v>
      </c>
    </row>
    <row r="242" spans="1:3" ht="38.25" x14ac:dyDescent="0.2">
      <c r="A242" s="1">
        <v>436</v>
      </c>
      <c r="B242" s="7" t="s">
        <v>420</v>
      </c>
      <c r="C242" s="11" t="s">
        <v>421</v>
      </c>
    </row>
    <row r="243" spans="1:3" x14ac:dyDescent="0.2">
      <c r="A243" s="1">
        <v>437</v>
      </c>
      <c r="B243" s="7" t="s">
        <v>1088</v>
      </c>
      <c r="C243" s="11"/>
    </row>
    <row r="244" spans="1:3" ht="25.5" x14ac:dyDescent="0.2">
      <c r="A244" s="1">
        <v>438</v>
      </c>
      <c r="B244" s="7" t="s">
        <v>1101</v>
      </c>
      <c r="C244" s="11" t="s">
        <v>422</v>
      </c>
    </row>
    <row r="245" spans="1:3" x14ac:dyDescent="0.2">
      <c r="A245" s="1"/>
      <c r="B245" s="7"/>
      <c r="C245" s="11"/>
    </row>
    <row r="246" spans="1:3" ht="25.5" x14ac:dyDescent="0.2">
      <c r="A246" s="1">
        <v>439</v>
      </c>
      <c r="B246" s="7" t="s">
        <v>423</v>
      </c>
      <c r="C246" s="11" t="s">
        <v>424</v>
      </c>
    </row>
    <row r="247" spans="1:3" x14ac:dyDescent="0.2">
      <c r="A247" s="1">
        <v>440</v>
      </c>
      <c r="B247" s="7" t="s">
        <v>425</v>
      </c>
      <c r="C247" s="11" t="s">
        <v>59</v>
      </c>
    </row>
    <row r="248" spans="1:3" x14ac:dyDescent="0.2">
      <c r="A248" s="1">
        <v>441</v>
      </c>
      <c r="B248" s="7" t="s">
        <v>1091</v>
      </c>
      <c r="C248" s="11"/>
    </row>
    <row r="249" spans="1:3" x14ac:dyDescent="0.2">
      <c r="A249" s="1">
        <v>442</v>
      </c>
      <c r="B249" s="7" t="s">
        <v>426</v>
      </c>
      <c r="C249" s="11" t="s">
        <v>427</v>
      </c>
    </row>
    <row r="250" spans="1:3" ht="25.5" x14ac:dyDescent="0.2">
      <c r="A250" s="1">
        <v>445</v>
      </c>
      <c r="B250" s="7" t="s">
        <v>428</v>
      </c>
      <c r="C250" s="11" t="s">
        <v>429</v>
      </c>
    </row>
    <row r="251" spans="1:3" ht="63.75" x14ac:dyDescent="0.2">
      <c r="A251" s="1">
        <v>445</v>
      </c>
      <c r="B251" s="7" t="s">
        <v>1095</v>
      </c>
      <c r="C251" s="11" t="s">
        <v>430</v>
      </c>
    </row>
    <row r="252" spans="1:3" ht="38.25" x14ac:dyDescent="0.2">
      <c r="A252" s="1">
        <v>446</v>
      </c>
      <c r="B252" s="7" t="s">
        <v>1098</v>
      </c>
      <c r="C252" s="11" t="s">
        <v>1811</v>
      </c>
    </row>
    <row r="253" spans="1:3" ht="25.5" x14ac:dyDescent="0.2">
      <c r="A253" s="15">
        <v>847</v>
      </c>
      <c r="B253" s="16" t="s">
        <v>32</v>
      </c>
      <c r="C253" s="11" t="s">
        <v>431</v>
      </c>
    </row>
    <row r="254" spans="1:3" ht="51" x14ac:dyDescent="0.2">
      <c r="A254" s="1">
        <v>452</v>
      </c>
      <c r="B254" s="7" t="s">
        <v>1104</v>
      </c>
      <c r="C254" s="11" t="s">
        <v>1812</v>
      </c>
    </row>
    <row r="255" spans="1:3" x14ac:dyDescent="0.2">
      <c r="A255" s="1">
        <v>453</v>
      </c>
      <c r="B255" s="7" t="s">
        <v>1105</v>
      </c>
      <c r="C255" s="11"/>
    </row>
    <row r="256" spans="1:3" x14ac:dyDescent="0.2">
      <c r="A256" s="1">
        <v>454</v>
      </c>
      <c r="B256" s="7" t="s">
        <v>1107</v>
      </c>
      <c r="C256" s="11"/>
    </row>
    <row r="257" spans="1:3" x14ac:dyDescent="0.2">
      <c r="A257" s="1">
        <v>455</v>
      </c>
      <c r="B257" s="7" t="s">
        <v>1110</v>
      </c>
      <c r="C257" s="8" t="s">
        <v>432</v>
      </c>
    </row>
    <row r="258" spans="1:3" x14ac:dyDescent="0.2">
      <c r="A258" s="1">
        <v>456</v>
      </c>
      <c r="B258" s="7" t="s">
        <v>1112</v>
      </c>
      <c r="C258" s="11"/>
    </row>
    <row r="259" spans="1:3" x14ac:dyDescent="0.2">
      <c r="A259" s="1">
        <v>457</v>
      </c>
      <c r="B259" s="7" t="s">
        <v>433</v>
      </c>
      <c r="C259" s="11"/>
    </row>
    <row r="260" spans="1:3" x14ac:dyDescent="0.2">
      <c r="A260" s="1">
        <v>458</v>
      </c>
      <c r="B260" s="7" t="s">
        <v>1117</v>
      </c>
      <c r="C260" s="11"/>
    </row>
    <row r="261" spans="1:3" ht="38.25" x14ac:dyDescent="0.2">
      <c r="A261" s="1">
        <v>459</v>
      </c>
      <c r="B261" s="7" t="s">
        <v>1120</v>
      </c>
      <c r="C261" s="11" t="s">
        <v>434</v>
      </c>
    </row>
    <row r="262" spans="1:3" x14ac:dyDescent="0.2">
      <c r="A262" s="1">
        <v>461</v>
      </c>
      <c r="B262" s="7" t="s">
        <v>435</v>
      </c>
      <c r="C262" s="11" t="s">
        <v>436</v>
      </c>
    </row>
    <row r="263" spans="1:3" x14ac:dyDescent="0.2">
      <c r="A263" s="1">
        <v>462</v>
      </c>
      <c r="B263" s="7" t="s">
        <v>1121</v>
      </c>
      <c r="C263" s="11"/>
    </row>
    <row r="264" spans="1:3" ht="51" x14ac:dyDescent="0.2">
      <c r="A264" s="1">
        <v>463</v>
      </c>
      <c r="B264" s="17" t="s">
        <v>1125</v>
      </c>
      <c r="C264" s="11" t="s">
        <v>665</v>
      </c>
    </row>
    <row r="265" spans="1:3" ht="38.25" x14ac:dyDescent="0.2">
      <c r="A265" s="1">
        <v>465</v>
      </c>
      <c r="B265" s="8" t="s">
        <v>1127</v>
      </c>
      <c r="C265" s="11" t="s">
        <v>1813</v>
      </c>
    </row>
    <row r="266" spans="1:3" x14ac:dyDescent="0.2">
      <c r="A266" s="1">
        <v>468</v>
      </c>
      <c r="B266" s="8" t="s">
        <v>437</v>
      </c>
      <c r="C266" s="11" t="s">
        <v>438</v>
      </c>
    </row>
    <row r="267" spans="1:3" x14ac:dyDescent="0.2">
      <c r="A267" s="1">
        <v>467</v>
      </c>
      <c r="B267" s="8" t="s">
        <v>439</v>
      </c>
      <c r="C267" s="11" t="s">
        <v>440</v>
      </c>
    </row>
    <row r="268" spans="1:3" ht="25.5" x14ac:dyDescent="0.2">
      <c r="A268" s="1">
        <v>469</v>
      </c>
      <c r="B268" s="8" t="s">
        <v>1130</v>
      </c>
      <c r="C268" s="11" t="s">
        <v>441</v>
      </c>
    </row>
    <row r="269" spans="1:3" x14ac:dyDescent="0.2">
      <c r="A269" s="1">
        <v>470</v>
      </c>
      <c r="B269" s="8" t="s">
        <v>1131</v>
      </c>
      <c r="C269" s="11"/>
    </row>
    <row r="270" spans="1:3" ht="25.5" x14ac:dyDescent="0.2">
      <c r="A270" s="1">
        <v>472</v>
      </c>
      <c r="B270" s="8" t="s">
        <v>442</v>
      </c>
      <c r="C270" s="11"/>
    </row>
    <row r="271" spans="1:3" ht="25.5" x14ac:dyDescent="0.2">
      <c r="A271" s="1">
        <v>473</v>
      </c>
      <c r="B271" s="8" t="s">
        <v>1136</v>
      </c>
      <c r="C271" s="11" t="s">
        <v>783</v>
      </c>
    </row>
    <row r="272" spans="1:3" x14ac:dyDescent="0.2">
      <c r="A272" s="1">
        <v>474</v>
      </c>
      <c r="B272" s="8" t="s">
        <v>1138</v>
      </c>
      <c r="C272" s="11"/>
    </row>
    <row r="273" spans="1:3" ht="25.5" x14ac:dyDescent="0.2">
      <c r="A273" s="1">
        <v>475</v>
      </c>
      <c r="B273" s="8" t="s">
        <v>443</v>
      </c>
      <c r="C273" s="11" t="s">
        <v>1797</v>
      </c>
    </row>
    <row r="274" spans="1:3" x14ac:dyDescent="0.2">
      <c r="A274" s="1">
        <v>476</v>
      </c>
      <c r="B274" s="8" t="s">
        <v>1140</v>
      </c>
      <c r="C274" s="12" t="s">
        <v>237</v>
      </c>
    </row>
    <row r="275" spans="1:3" x14ac:dyDescent="0.2">
      <c r="A275" s="1">
        <v>477</v>
      </c>
      <c r="B275" s="8" t="s">
        <v>444</v>
      </c>
      <c r="C275" s="11" t="s">
        <v>445</v>
      </c>
    </row>
    <row r="276" spans="1:3" ht="89.25" x14ac:dyDescent="0.2">
      <c r="A276" s="1">
        <v>480</v>
      </c>
      <c r="B276" s="8" t="s">
        <v>1144</v>
      </c>
      <c r="C276" s="11" t="s">
        <v>1814</v>
      </c>
    </row>
    <row r="277" spans="1:3" x14ac:dyDescent="0.2">
      <c r="A277" s="1">
        <v>481</v>
      </c>
      <c r="B277" s="8" t="s">
        <v>1145</v>
      </c>
      <c r="C277" s="11"/>
    </row>
    <row r="278" spans="1:3" x14ac:dyDescent="0.2">
      <c r="A278" s="1">
        <v>482</v>
      </c>
      <c r="B278" s="8" t="s">
        <v>1149</v>
      </c>
      <c r="C278" s="11" t="s">
        <v>769</v>
      </c>
    </row>
    <row r="279" spans="1:3" x14ac:dyDescent="0.2">
      <c r="A279" s="1">
        <v>483</v>
      </c>
      <c r="B279" s="8" t="s">
        <v>1151</v>
      </c>
      <c r="C279" s="11"/>
    </row>
    <row r="280" spans="1:3" x14ac:dyDescent="0.2">
      <c r="A280" s="1">
        <v>484</v>
      </c>
      <c r="B280" s="8" t="s">
        <v>446</v>
      </c>
      <c r="C280" s="11" t="s">
        <v>447</v>
      </c>
    </row>
    <row r="281" spans="1:3" x14ac:dyDescent="0.2">
      <c r="A281" s="1">
        <v>485</v>
      </c>
      <c r="B281" s="8" t="s">
        <v>1155</v>
      </c>
      <c r="C281" s="11"/>
    </row>
    <row r="282" spans="1:3" x14ac:dyDescent="0.2">
      <c r="A282" s="1">
        <v>486</v>
      </c>
      <c r="B282" s="8" t="s">
        <v>448</v>
      </c>
      <c r="C282" s="11" t="s">
        <v>649</v>
      </c>
    </row>
    <row r="283" spans="1:3" x14ac:dyDescent="0.2">
      <c r="A283" s="1">
        <v>487</v>
      </c>
      <c r="B283" s="8" t="s">
        <v>1158</v>
      </c>
      <c r="C283" s="11"/>
    </row>
    <row r="284" spans="1:3" x14ac:dyDescent="0.2">
      <c r="A284" s="1">
        <v>488</v>
      </c>
      <c r="B284" s="8" t="s">
        <v>1161</v>
      </c>
      <c r="C284" s="11"/>
    </row>
    <row r="285" spans="1:3" x14ac:dyDescent="0.2">
      <c r="A285" s="1">
        <v>489</v>
      </c>
      <c r="B285" s="8" t="s">
        <v>1162</v>
      </c>
      <c r="C285" s="11"/>
    </row>
    <row r="286" spans="1:3" x14ac:dyDescent="0.2">
      <c r="A286" s="1">
        <v>490</v>
      </c>
      <c r="B286" s="8" t="s">
        <v>1165</v>
      </c>
      <c r="C286" s="11"/>
    </row>
    <row r="287" spans="1:3" x14ac:dyDescent="0.2">
      <c r="A287" s="1">
        <v>491</v>
      </c>
      <c r="B287" s="8" t="s">
        <v>1166</v>
      </c>
      <c r="C287" s="11"/>
    </row>
    <row r="288" spans="1:3" x14ac:dyDescent="0.2">
      <c r="A288" s="1">
        <v>492</v>
      </c>
      <c r="B288" s="8" t="s">
        <v>1168</v>
      </c>
      <c r="C288" s="11"/>
    </row>
    <row r="289" spans="1:3" x14ac:dyDescent="0.2">
      <c r="A289" s="1">
        <v>493</v>
      </c>
      <c r="B289" s="8" t="s">
        <v>1170</v>
      </c>
      <c r="C289" s="11"/>
    </row>
    <row r="290" spans="1:3" ht="51" x14ac:dyDescent="0.2">
      <c r="A290" s="1">
        <v>494</v>
      </c>
      <c r="B290" s="8" t="s">
        <v>449</v>
      </c>
      <c r="C290" s="11" t="s">
        <v>450</v>
      </c>
    </row>
    <row r="291" spans="1:3" x14ac:dyDescent="0.2">
      <c r="A291" s="1">
        <v>495</v>
      </c>
      <c r="B291" s="7" t="s">
        <v>1176</v>
      </c>
      <c r="C291" s="11" t="s">
        <v>451</v>
      </c>
    </row>
    <row r="292" spans="1:3" ht="76.5" x14ac:dyDescent="0.2">
      <c r="A292" s="1">
        <v>496</v>
      </c>
      <c r="B292" s="7" t="s">
        <v>16</v>
      </c>
      <c r="C292" s="11" t="s">
        <v>659</v>
      </c>
    </row>
    <row r="293" spans="1:3" x14ac:dyDescent="0.2">
      <c r="A293" s="1">
        <v>497</v>
      </c>
      <c r="B293" s="7" t="s">
        <v>1179</v>
      </c>
      <c r="C293" s="11"/>
    </row>
    <row r="294" spans="1:3" x14ac:dyDescent="0.2">
      <c r="A294" s="1">
        <v>499</v>
      </c>
      <c r="B294" s="7" t="s">
        <v>1181</v>
      </c>
      <c r="C294" s="11"/>
    </row>
    <row r="295" spans="1:3" x14ac:dyDescent="0.2">
      <c r="A295" s="1">
        <v>501</v>
      </c>
      <c r="B295" s="7" t="s">
        <v>17</v>
      </c>
      <c r="C295" s="11"/>
    </row>
    <row r="296" spans="1:3" ht="25.5" x14ac:dyDescent="0.2">
      <c r="A296" s="1">
        <v>502</v>
      </c>
      <c r="B296" s="7" t="s">
        <v>452</v>
      </c>
      <c r="C296" s="11" t="s">
        <v>453</v>
      </c>
    </row>
    <row r="297" spans="1:3" x14ac:dyDescent="0.2">
      <c r="A297" s="1">
        <v>503</v>
      </c>
      <c r="B297" s="7" t="s">
        <v>1190</v>
      </c>
      <c r="C297" s="11"/>
    </row>
    <row r="298" spans="1:3" x14ac:dyDescent="0.2">
      <c r="A298" s="1">
        <v>506</v>
      </c>
      <c r="B298" s="8" t="s">
        <v>454</v>
      </c>
      <c r="C298" s="11" t="s">
        <v>455</v>
      </c>
    </row>
    <row r="299" spans="1:3" ht="165.75" x14ac:dyDescent="0.2">
      <c r="A299" s="1">
        <v>507</v>
      </c>
      <c r="B299" s="7" t="s">
        <v>1189</v>
      </c>
      <c r="C299" s="11" t="s">
        <v>1789</v>
      </c>
    </row>
    <row r="300" spans="1:3" ht="25.5" x14ac:dyDescent="0.2">
      <c r="A300" s="1">
        <v>509</v>
      </c>
      <c r="B300" s="7" t="s">
        <v>456</v>
      </c>
      <c r="C300" s="11" t="s">
        <v>457</v>
      </c>
    </row>
    <row r="301" spans="1:3" ht="38.25" x14ac:dyDescent="0.2">
      <c r="A301" s="1">
        <v>510</v>
      </c>
      <c r="B301" s="7" t="s">
        <v>458</v>
      </c>
      <c r="C301" s="11" t="s">
        <v>459</v>
      </c>
    </row>
    <row r="302" spans="1:3" x14ac:dyDescent="0.2">
      <c r="A302" s="1">
        <v>511</v>
      </c>
      <c r="B302" s="7" t="s">
        <v>1193</v>
      </c>
      <c r="C302" s="11"/>
    </row>
    <row r="303" spans="1:3" x14ac:dyDescent="0.2">
      <c r="A303" s="1">
        <v>514</v>
      </c>
      <c r="B303" s="7" t="s">
        <v>460</v>
      </c>
      <c r="C303" s="11" t="s">
        <v>461</v>
      </c>
    </row>
    <row r="304" spans="1:3" x14ac:dyDescent="0.2">
      <c r="A304" s="1">
        <v>518</v>
      </c>
      <c r="B304" s="7" t="s">
        <v>1195</v>
      </c>
      <c r="C304" s="11" t="s">
        <v>462</v>
      </c>
    </row>
    <row r="305" spans="1:3" x14ac:dyDescent="0.2">
      <c r="A305" s="1">
        <v>519</v>
      </c>
      <c r="B305" s="7" t="s">
        <v>1198</v>
      </c>
      <c r="C305" s="11" t="s">
        <v>1837</v>
      </c>
    </row>
    <row r="306" spans="1:3" ht="38.25" x14ac:dyDescent="0.2">
      <c r="A306" s="1">
        <v>520</v>
      </c>
      <c r="B306" s="7" t="s">
        <v>463</v>
      </c>
      <c r="C306" s="11" t="s">
        <v>464</v>
      </c>
    </row>
    <row r="307" spans="1:3" x14ac:dyDescent="0.2">
      <c r="A307" s="1">
        <v>522</v>
      </c>
      <c r="B307" s="7" t="s">
        <v>465</v>
      </c>
      <c r="C307" s="11" t="s">
        <v>466</v>
      </c>
    </row>
    <row r="308" spans="1:3" x14ac:dyDescent="0.2">
      <c r="A308" s="3">
        <v>524</v>
      </c>
      <c r="B308" s="17" t="s">
        <v>467</v>
      </c>
      <c r="C308" s="5" t="s">
        <v>468</v>
      </c>
    </row>
    <row r="309" spans="1:3" x14ac:dyDescent="0.2">
      <c r="A309" s="3">
        <v>529</v>
      </c>
      <c r="B309" s="17" t="s">
        <v>1201</v>
      </c>
      <c r="C309" s="5"/>
    </row>
    <row r="310" spans="1:3" x14ac:dyDescent="0.2">
      <c r="A310" s="1">
        <v>534</v>
      </c>
      <c r="B310" s="7" t="s">
        <v>469</v>
      </c>
      <c r="C310" s="11" t="s">
        <v>470</v>
      </c>
    </row>
    <row r="311" spans="1:3" x14ac:dyDescent="0.2">
      <c r="A311" s="2">
        <v>535</v>
      </c>
      <c r="B311" s="7" t="s">
        <v>471</v>
      </c>
      <c r="C311" s="11" t="s">
        <v>472</v>
      </c>
    </row>
    <row r="312" spans="1:3" x14ac:dyDescent="0.2">
      <c r="A312" s="3">
        <v>545</v>
      </c>
      <c r="B312" s="17" t="s">
        <v>473</v>
      </c>
      <c r="C312" s="5"/>
    </row>
    <row r="313" spans="1:3" ht="76.5" x14ac:dyDescent="0.2">
      <c r="A313" s="18">
        <v>553</v>
      </c>
      <c r="B313" s="19" t="s">
        <v>1227</v>
      </c>
      <c r="C313" s="20" t="s">
        <v>474</v>
      </c>
    </row>
    <row r="314" spans="1:3" x14ac:dyDescent="0.2">
      <c r="A314" s="4">
        <v>531</v>
      </c>
      <c r="B314" s="5" t="s">
        <v>475</v>
      </c>
      <c r="C314" s="5" t="s">
        <v>476</v>
      </c>
    </row>
    <row r="315" spans="1:3" x14ac:dyDescent="0.2">
      <c r="A315" s="4">
        <v>532</v>
      </c>
      <c r="B315" s="5" t="s">
        <v>1203</v>
      </c>
      <c r="C315" s="5"/>
    </row>
    <row r="316" spans="1:3" ht="25.5" x14ac:dyDescent="0.2">
      <c r="A316" s="4">
        <v>533</v>
      </c>
      <c r="B316" s="5" t="s">
        <v>1206</v>
      </c>
      <c r="C316" s="5" t="s">
        <v>477</v>
      </c>
    </row>
    <row r="317" spans="1:3" x14ac:dyDescent="0.2">
      <c r="A317" s="4">
        <v>535</v>
      </c>
      <c r="B317" s="5" t="s">
        <v>1209</v>
      </c>
      <c r="C317" s="20" t="s">
        <v>472</v>
      </c>
    </row>
    <row r="318" spans="1:3" x14ac:dyDescent="0.2">
      <c r="A318" s="4">
        <v>536</v>
      </c>
      <c r="B318" s="5" t="s">
        <v>1211</v>
      </c>
      <c r="C318" s="5" t="s">
        <v>478</v>
      </c>
    </row>
    <row r="319" spans="1:3" x14ac:dyDescent="0.2">
      <c r="A319" s="1">
        <v>537</v>
      </c>
      <c r="B319" s="7" t="s">
        <v>479</v>
      </c>
      <c r="C319" s="11"/>
    </row>
    <row r="320" spans="1:3" ht="38.25" x14ac:dyDescent="0.2">
      <c r="A320" s="1">
        <v>538</v>
      </c>
      <c r="B320" s="7" t="s">
        <v>480</v>
      </c>
      <c r="C320" s="11" t="s">
        <v>481</v>
      </c>
    </row>
    <row r="321" spans="1:3" x14ac:dyDescent="0.2">
      <c r="A321" s="1">
        <v>539</v>
      </c>
      <c r="B321" s="7" t="s">
        <v>1213</v>
      </c>
      <c r="C321" s="11"/>
    </row>
    <row r="322" spans="1:3" ht="89.25" x14ac:dyDescent="0.2">
      <c r="A322" s="1">
        <v>541</v>
      </c>
      <c r="B322" s="7" t="s">
        <v>482</v>
      </c>
      <c r="C322" s="92" t="s">
        <v>662</v>
      </c>
    </row>
    <row r="323" spans="1:3" x14ac:dyDescent="0.2">
      <c r="A323" s="1">
        <v>543</v>
      </c>
      <c r="B323" s="7" t="s">
        <v>483</v>
      </c>
      <c r="C323" s="11"/>
    </row>
    <row r="324" spans="1:3" x14ac:dyDescent="0.2">
      <c r="A324" s="1"/>
      <c r="B324" s="7"/>
      <c r="C324" s="11"/>
    </row>
    <row r="325" spans="1:3" x14ac:dyDescent="0.2">
      <c r="A325" s="1">
        <v>544</v>
      </c>
      <c r="B325" s="7" t="s">
        <v>484</v>
      </c>
      <c r="C325" s="11" t="s">
        <v>485</v>
      </c>
    </row>
    <row r="326" spans="1:3" x14ac:dyDescent="0.2">
      <c r="A326" s="1">
        <v>545</v>
      </c>
      <c r="B326" s="7" t="s">
        <v>1218</v>
      </c>
      <c r="C326" s="11"/>
    </row>
    <row r="327" spans="1:3" x14ac:dyDescent="0.2">
      <c r="A327" s="1">
        <v>548</v>
      </c>
      <c r="B327" s="7" t="s">
        <v>1219</v>
      </c>
      <c r="C327" s="11"/>
    </row>
    <row r="328" spans="1:3" x14ac:dyDescent="0.2">
      <c r="A328" s="1">
        <v>550</v>
      </c>
      <c r="B328" s="7" t="s">
        <v>1222</v>
      </c>
      <c r="C328" s="11"/>
    </row>
    <row r="329" spans="1:3" x14ac:dyDescent="0.2">
      <c r="A329" s="1">
        <v>554</v>
      </c>
      <c r="B329" s="7" t="s">
        <v>1228</v>
      </c>
      <c r="C329" s="11"/>
    </row>
    <row r="330" spans="1:3" ht="38.25" x14ac:dyDescent="0.2">
      <c r="A330" s="1">
        <v>556</v>
      </c>
      <c r="B330" s="7" t="s">
        <v>1223</v>
      </c>
      <c r="C330" s="11" t="s">
        <v>486</v>
      </c>
    </row>
    <row r="331" spans="1:3" ht="38.25" x14ac:dyDescent="0.2">
      <c r="A331" s="1">
        <v>567</v>
      </c>
      <c r="B331" s="7" t="s">
        <v>1232</v>
      </c>
      <c r="C331" s="11" t="s">
        <v>487</v>
      </c>
    </row>
    <row r="332" spans="1:3" x14ac:dyDescent="0.2">
      <c r="A332" s="1">
        <v>568</v>
      </c>
      <c r="B332" s="7" t="s">
        <v>1233</v>
      </c>
      <c r="C332" s="11"/>
    </row>
    <row r="333" spans="1:3" x14ac:dyDescent="0.2">
      <c r="A333" s="1">
        <v>569</v>
      </c>
      <c r="B333" s="7" t="s">
        <v>1237</v>
      </c>
      <c r="C333" s="11"/>
    </row>
    <row r="334" spans="1:3" x14ac:dyDescent="0.2">
      <c r="A334" s="1">
        <v>570</v>
      </c>
      <c r="B334" s="7" t="s">
        <v>1239</v>
      </c>
      <c r="C334" s="11"/>
    </row>
    <row r="335" spans="1:3" ht="25.5" x14ac:dyDescent="0.2">
      <c r="A335" s="1">
        <v>572</v>
      </c>
      <c r="B335" s="7" t="s">
        <v>488</v>
      </c>
      <c r="C335" s="11" t="s">
        <v>489</v>
      </c>
    </row>
    <row r="336" spans="1:3" ht="114.75" x14ac:dyDescent="0.2">
      <c r="A336" s="1">
        <v>573</v>
      </c>
      <c r="B336" s="7" t="s">
        <v>490</v>
      </c>
      <c r="C336" s="11" t="s">
        <v>491</v>
      </c>
    </row>
    <row r="337" spans="1:3" x14ac:dyDescent="0.2">
      <c r="A337" s="1">
        <v>577</v>
      </c>
      <c r="B337" s="7" t="s">
        <v>1243</v>
      </c>
      <c r="C337" s="11" t="s">
        <v>492</v>
      </c>
    </row>
    <row r="338" spans="1:3" x14ac:dyDescent="0.2">
      <c r="A338" s="1">
        <v>578</v>
      </c>
      <c r="B338" s="7" t="s">
        <v>1245</v>
      </c>
      <c r="C338" s="11"/>
    </row>
    <row r="339" spans="1:3" ht="25.5" x14ac:dyDescent="0.2">
      <c r="A339" s="1">
        <v>579</v>
      </c>
      <c r="B339" s="7" t="s">
        <v>493</v>
      </c>
      <c r="C339" s="11" t="s">
        <v>494</v>
      </c>
    </row>
    <row r="340" spans="1:3" x14ac:dyDescent="0.2">
      <c r="A340" s="1">
        <v>580</v>
      </c>
      <c r="B340" s="7" t="s">
        <v>1246</v>
      </c>
      <c r="C340" s="11"/>
    </row>
    <row r="341" spans="1:3" ht="38.25" x14ac:dyDescent="0.2">
      <c r="A341" s="4">
        <v>581</v>
      </c>
      <c r="B341" s="5" t="s">
        <v>1249</v>
      </c>
      <c r="C341" s="11" t="s">
        <v>658</v>
      </c>
    </row>
    <row r="342" spans="1:3" x14ac:dyDescent="0.2">
      <c r="A342" s="1">
        <v>582</v>
      </c>
      <c r="B342" s="7" t="s">
        <v>1252</v>
      </c>
      <c r="C342" s="11" t="s">
        <v>495</v>
      </c>
    </row>
    <row r="343" spans="1:3" x14ac:dyDescent="0.2">
      <c r="A343" s="109">
        <v>583</v>
      </c>
      <c r="B343" s="189" t="s">
        <v>1310</v>
      </c>
    </row>
    <row r="344" spans="1:3" x14ac:dyDescent="0.2">
      <c r="A344" s="109">
        <v>584</v>
      </c>
      <c r="B344" s="189" t="s">
        <v>1312</v>
      </c>
    </row>
    <row r="345" spans="1:3" ht="25.5" x14ac:dyDescent="0.2">
      <c r="A345" s="1">
        <v>586</v>
      </c>
      <c r="B345" s="7" t="s">
        <v>1314</v>
      </c>
      <c r="C345" s="11" t="s">
        <v>496</v>
      </c>
    </row>
    <row r="346" spans="1:3" ht="51" x14ac:dyDescent="0.2">
      <c r="A346" s="1">
        <v>587</v>
      </c>
      <c r="B346" s="7" t="s">
        <v>497</v>
      </c>
      <c r="C346" s="11" t="s">
        <v>1815</v>
      </c>
    </row>
    <row r="347" spans="1:3" x14ac:dyDescent="0.2">
      <c r="A347" s="1">
        <v>588</v>
      </c>
      <c r="B347" s="7" t="s">
        <v>19</v>
      </c>
      <c r="C347" s="11" t="s">
        <v>498</v>
      </c>
    </row>
    <row r="348" spans="1:3" x14ac:dyDescent="0.2">
      <c r="A348" s="1">
        <v>590</v>
      </c>
      <c r="B348" s="7" t="s">
        <v>1319</v>
      </c>
      <c r="C348" s="11"/>
    </row>
    <row r="349" spans="1:3" x14ac:dyDescent="0.2">
      <c r="A349" s="1">
        <v>592</v>
      </c>
      <c r="B349" s="7" t="s">
        <v>1322</v>
      </c>
      <c r="C349" s="11"/>
    </row>
    <row r="350" spans="1:3" x14ac:dyDescent="0.2">
      <c r="A350" s="1">
        <v>593</v>
      </c>
      <c r="B350" s="7" t="s">
        <v>20</v>
      </c>
      <c r="C350" s="11"/>
    </row>
    <row r="351" spans="1:3" x14ac:dyDescent="0.2">
      <c r="A351" s="1">
        <v>594</v>
      </c>
      <c r="B351" s="7" t="s">
        <v>1327</v>
      </c>
      <c r="C351" s="11"/>
    </row>
    <row r="352" spans="1:3" x14ac:dyDescent="0.2">
      <c r="A352" s="1">
        <v>595</v>
      </c>
      <c r="B352" s="7" t="s">
        <v>1330</v>
      </c>
      <c r="C352" s="11"/>
    </row>
    <row r="353" spans="1:3" x14ac:dyDescent="0.2">
      <c r="A353" s="1">
        <v>596</v>
      </c>
      <c r="B353" s="7" t="s">
        <v>1331</v>
      </c>
      <c r="C353" s="11"/>
    </row>
    <row r="354" spans="1:3" x14ac:dyDescent="0.2">
      <c r="A354" s="1">
        <v>597</v>
      </c>
      <c r="B354" s="7" t="s">
        <v>1333</v>
      </c>
      <c r="C354" s="11"/>
    </row>
    <row r="356" spans="1:3" ht="51" x14ac:dyDescent="0.2">
      <c r="A356" s="1">
        <v>589</v>
      </c>
      <c r="B356" s="7" t="s">
        <v>501</v>
      </c>
      <c r="C356" s="11" t="s">
        <v>502</v>
      </c>
    </row>
    <row r="357" spans="1:3" x14ac:dyDescent="0.2">
      <c r="A357" s="1">
        <v>592</v>
      </c>
      <c r="B357" s="7" t="s">
        <v>503</v>
      </c>
      <c r="C357" s="11" t="s">
        <v>654</v>
      </c>
    </row>
    <row r="358" spans="1:3" ht="25.5" x14ac:dyDescent="0.2">
      <c r="A358" s="1">
        <v>595</v>
      </c>
      <c r="B358" s="7" t="s">
        <v>504</v>
      </c>
      <c r="C358" s="11" t="s">
        <v>505</v>
      </c>
    </row>
    <row r="359" spans="1:3" ht="76.5" x14ac:dyDescent="0.2">
      <c r="A359" s="1">
        <v>598</v>
      </c>
      <c r="B359" s="7" t="s">
        <v>1336</v>
      </c>
      <c r="C359" s="11" t="s">
        <v>1816</v>
      </c>
    </row>
    <row r="360" spans="1:3" x14ac:dyDescent="0.2">
      <c r="A360" s="1">
        <v>599</v>
      </c>
      <c r="B360" s="7" t="s">
        <v>506</v>
      </c>
      <c r="C360" s="11" t="s">
        <v>507</v>
      </c>
    </row>
    <row r="361" spans="1:3" ht="25.5" x14ac:dyDescent="0.2">
      <c r="A361" s="1">
        <v>600</v>
      </c>
      <c r="B361" s="7" t="s">
        <v>508</v>
      </c>
      <c r="C361" s="11" t="s">
        <v>509</v>
      </c>
    </row>
    <row r="362" spans="1:3" x14ac:dyDescent="0.2">
      <c r="A362" s="1">
        <v>601</v>
      </c>
      <c r="B362" s="7" t="s">
        <v>1340</v>
      </c>
      <c r="C362" s="11"/>
    </row>
    <row r="363" spans="1:3" ht="25.5" x14ac:dyDescent="0.2">
      <c r="A363" s="1">
        <v>602</v>
      </c>
      <c r="B363" s="7" t="s">
        <v>1342</v>
      </c>
      <c r="C363" s="11" t="s">
        <v>510</v>
      </c>
    </row>
    <row r="364" spans="1:3" ht="25.5" x14ac:dyDescent="0.2">
      <c r="A364" s="1">
        <v>603</v>
      </c>
      <c r="B364" s="7" t="s">
        <v>511</v>
      </c>
      <c r="C364" s="11" t="s">
        <v>512</v>
      </c>
    </row>
    <row r="365" spans="1:3" x14ac:dyDescent="0.2">
      <c r="A365" s="1">
        <v>604</v>
      </c>
      <c r="B365" s="7" t="s">
        <v>1346</v>
      </c>
      <c r="C365" s="11"/>
    </row>
    <row r="366" spans="1:3" x14ac:dyDescent="0.2">
      <c r="A366" s="1">
        <v>605</v>
      </c>
      <c r="B366" s="7" t="s">
        <v>1348</v>
      </c>
      <c r="C366" s="11"/>
    </row>
    <row r="367" spans="1:3" x14ac:dyDescent="0.2">
      <c r="A367" s="1">
        <v>606</v>
      </c>
      <c r="B367" s="7" t="s">
        <v>1350</v>
      </c>
      <c r="C367" s="11" t="s">
        <v>513</v>
      </c>
    </row>
    <row r="368" spans="1:3" ht="25.5" x14ac:dyDescent="0.2">
      <c r="A368" s="1">
        <v>607</v>
      </c>
      <c r="B368" s="7" t="s">
        <v>514</v>
      </c>
      <c r="C368" s="11" t="s">
        <v>515</v>
      </c>
    </row>
    <row r="369" spans="1:3" x14ac:dyDescent="0.2">
      <c r="A369" s="1">
        <v>649</v>
      </c>
      <c r="B369" s="7" t="s">
        <v>1352</v>
      </c>
      <c r="C369" s="11"/>
    </row>
    <row r="370" spans="1:3" x14ac:dyDescent="0.2">
      <c r="A370" s="1">
        <v>662</v>
      </c>
      <c r="B370" s="7" t="s">
        <v>1354</v>
      </c>
      <c r="C370" s="11"/>
    </row>
    <row r="371" spans="1:3" x14ac:dyDescent="0.2">
      <c r="A371" s="1">
        <v>664</v>
      </c>
      <c r="B371" s="7" t="s">
        <v>1360</v>
      </c>
      <c r="C371" s="11"/>
    </row>
    <row r="372" spans="1:3" ht="38.25" x14ac:dyDescent="0.2">
      <c r="A372" s="1">
        <v>665</v>
      </c>
      <c r="B372" s="7" t="s">
        <v>1357</v>
      </c>
      <c r="C372" s="11" t="s">
        <v>516</v>
      </c>
    </row>
    <row r="373" spans="1:3" x14ac:dyDescent="0.2">
      <c r="A373" s="1">
        <v>666</v>
      </c>
      <c r="B373" s="7" t="s">
        <v>1362</v>
      </c>
      <c r="C373" s="11"/>
    </row>
    <row r="374" spans="1:3" x14ac:dyDescent="0.2">
      <c r="A374" s="1">
        <v>667</v>
      </c>
      <c r="B374" s="7" t="s">
        <v>1365</v>
      </c>
      <c r="C374" s="11"/>
    </row>
    <row r="375" spans="1:3" ht="25.5" x14ac:dyDescent="0.2">
      <c r="A375" s="1">
        <v>668</v>
      </c>
      <c r="B375" s="7" t="s">
        <v>517</v>
      </c>
      <c r="C375" s="11" t="s">
        <v>518</v>
      </c>
    </row>
    <row r="376" spans="1:3" x14ac:dyDescent="0.2">
      <c r="A376" s="1">
        <v>669</v>
      </c>
      <c r="B376" s="7" t="s">
        <v>1369</v>
      </c>
      <c r="C376" s="11"/>
    </row>
    <row r="377" spans="1:3" x14ac:dyDescent="0.2">
      <c r="A377" s="1">
        <v>670</v>
      </c>
      <c r="B377" s="7" t="s">
        <v>1370</v>
      </c>
      <c r="C377" s="11"/>
    </row>
    <row r="378" spans="1:3" ht="38.25" x14ac:dyDescent="0.2">
      <c r="A378" s="1">
        <v>673</v>
      </c>
      <c r="B378" s="7" t="s">
        <v>519</v>
      </c>
      <c r="C378" s="11" t="s">
        <v>520</v>
      </c>
    </row>
    <row r="379" spans="1:3" x14ac:dyDescent="0.2">
      <c r="A379" s="1">
        <v>674</v>
      </c>
      <c r="B379" s="7" t="s">
        <v>1373</v>
      </c>
      <c r="C379" s="11"/>
    </row>
    <row r="380" spans="1:3" x14ac:dyDescent="0.2">
      <c r="A380" s="1">
        <v>675</v>
      </c>
      <c r="B380" s="7" t="s">
        <v>1375</v>
      </c>
      <c r="C380" s="11"/>
    </row>
    <row r="381" spans="1:3" x14ac:dyDescent="0.2">
      <c r="A381" s="1">
        <v>676</v>
      </c>
      <c r="B381" s="7" t="s">
        <v>1378</v>
      </c>
      <c r="C381" s="11" t="s">
        <v>521</v>
      </c>
    </row>
    <row r="382" spans="1:3" ht="25.5" x14ac:dyDescent="0.2">
      <c r="A382" s="21">
        <v>677</v>
      </c>
      <c r="B382" s="7" t="s">
        <v>21</v>
      </c>
      <c r="C382" s="11" t="s">
        <v>522</v>
      </c>
    </row>
    <row r="383" spans="1:3" x14ac:dyDescent="0.2">
      <c r="A383" s="110">
        <v>678</v>
      </c>
      <c r="B383" s="7" t="s">
        <v>22</v>
      </c>
      <c r="C383" s="11"/>
    </row>
    <row r="384" spans="1:3" x14ac:dyDescent="0.2">
      <c r="A384" s="110">
        <v>680</v>
      </c>
      <c r="B384" s="7" t="s">
        <v>1381</v>
      </c>
      <c r="C384" s="11"/>
    </row>
    <row r="385" spans="1:4" x14ac:dyDescent="0.2">
      <c r="A385" s="110">
        <v>681</v>
      </c>
      <c r="B385" s="7" t="s">
        <v>23</v>
      </c>
      <c r="C385" s="11"/>
    </row>
    <row r="386" spans="1:4" x14ac:dyDescent="0.2">
      <c r="A386" s="110">
        <v>682</v>
      </c>
      <c r="B386" s="7" t="s">
        <v>24</v>
      </c>
      <c r="C386" s="11"/>
    </row>
    <row r="387" spans="1:4" x14ac:dyDescent="0.2">
      <c r="A387" s="110">
        <v>683</v>
      </c>
      <c r="B387" s="7" t="s">
        <v>1456</v>
      </c>
      <c r="C387" s="11"/>
    </row>
    <row r="388" spans="1:4" ht="63.75" x14ac:dyDescent="0.2">
      <c r="A388" s="1">
        <v>684</v>
      </c>
      <c r="B388" s="7" t="s">
        <v>1460</v>
      </c>
      <c r="C388" s="11" t="s">
        <v>1770</v>
      </c>
    </row>
    <row r="389" spans="1:4" x14ac:dyDescent="0.2">
      <c r="A389" s="1">
        <v>685</v>
      </c>
      <c r="B389" s="7" t="s">
        <v>1462</v>
      </c>
      <c r="C389" s="11"/>
    </row>
    <row r="390" spans="1:4" ht="25.5" x14ac:dyDescent="0.2">
      <c r="A390" s="1">
        <v>686</v>
      </c>
      <c r="B390" s="7" t="s">
        <v>1463</v>
      </c>
      <c r="C390" s="11" t="s">
        <v>523</v>
      </c>
    </row>
    <row r="391" spans="1:4" ht="25.5" x14ac:dyDescent="0.2">
      <c r="A391" s="1">
        <v>688</v>
      </c>
      <c r="B391" s="7" t="s">
        <v>524</v>
      </c>
      <c r="C391" s="11" t="s">
        <v>525</v>
      </c>
    </row>
    <row r="392" spans="1:4" x14ac:dyDescent="0.2">
      <c r="A392" s="1">
        <v>689</v>
      </c>
      <c r="B392" s="7" t="s">
        <v>1468</v>
      </c>
      <c r="C392" s="11"/>
    </row>
    <row r="393" spans="1:4" x14ac:dyDescent="0.2">
      <c r="A393" s="1">
        <v>691</v>
      </c>
      <c r="B393" s="7" t="s">
        <v>1470</v>
      </c>
      <c r="C393" s="11"/>
    </row>
    <row r="394" spans="1:4" x14ac:dyDescent="0.2">
      <c r="A394" s="1">
        <v>692</v>
      </c>
      <c r="B394" s="7" t="s">
        <v>1474</v>
      </c>
      <c r="C394" s="11" t="s">
        <v>526</v>
      </c>
    </row>
    <row r="395" spans="1:4" x14ac:dyDescent="0.2">
      <c r="A395" s="1">
        <v>693</v>
      </c>
      <c r="B395" s="7" t="s">
        <v>1475</v>
      </c>
      <c r="C395" s="11"/>
    </row>
    <row r="396" spans="1:4" x14ac:dyDescent="0.2">
      <c r="A396" s="1">
        <v>695</v>
      </c>
      <c r="B396" s="7" t="s">
        <v>1477</v>
      </c>
      <c r="C396" s="11"/>
    </row>
    <row r="397" spans="1:4" ht="25.5" x14ac:dyDescent="0.2">
      <c r="A397" s="1">
        <v>696</v>
      </c>
      <c r="B397" s="7" t="s">
        <v>1481</v>
      </c>
      <c r="C397" s="11" t="s">
        <v>527</v>
      </c>
      <c r="D397" s="189" t="s">
        <v>645</v>
      </c>
    </row>
    <row r="398" spans="1:4" x14ac:dyDescent="0.2">
      <c r="A398" s="1">
        <v>699</v>
      </c>
      <c r="B398" s="7" t="s">
        <v>1482</v>
      </c>
      <c r="C398" s="11"/>
    </row>
    <row r="399" spans="1:4" ht="38.25" x14ac:dyDescent="0.2">
      <c r="A399" s="1">
        <v>700</v>
      </c>
      <c r="B399" s="7" t="s">
        <v>1486</v>
      </c>
      <c r="C399" s="11" t="s">
        <v>1780</v>
      </c>
    </row>
    <row r="400" spans="1:4" x14ac:dyDescent="0.2">
      <c r="A400" s="1">
        <v>702</v>
      </c>
      <c r="B400" s="7" t="s">
        <v>1487</v>
      </c>
      <c r="C400" s="11" t="s">
        <v>528</v>
      </c>
    </row>
    <row r="401" spans="1:3" x14ac:dyDescent="0.2">
      <c r="A401" s="1">
        <v>703</v>
      </c>
      <c r="B401" s="7" t="s">
        <v>1489</v>
      </c>
      <c r="C401" s="11"/>
    </row>
    <row r="402" spans="1:3" x14ac:dyDescent="0.2">
      <c r="A402" s="1">
        <v>704</v>
      </c>
      <c r="B402" s="7" t="s">
        <v>1492</v>
      </c>
      <c r="C402" s="11"/>
    </row>
    <row r="403" spans="1:3" x14ac:dyDescent="0.2">
      <c r="A403" s="1">
        <v>705</v>
      </c>
      <c r="B403" s="7" t="s">
        <v>25</v>
      </c>
      <c r="C403" s="11"/>
    </row>
    <row r="404" spans="1:3" x14ac:dyDescent="0.2">
      <c r="A404" s="109">
        <v>707</v>
      </c>
      <c r="B404" s="189" t="s">
        <v>1494</v>
      </c>
    </row>
    <row r="405" spans="1:3" x14ac:dyDescent="0.2">
      <c r="A405" s="109">
        <v>709</v>
      </c>
      <c r="B405" s="189" t="s">
        <v>1496</v>
      </c>
    </row>
    <row r="406" spans="1:3" ht="38.25" x14ac:dyDescent="0.2">
      <c r="A406" s="1">
        <v>730</v>
      </c>
      <c r="B406" s="7" t="s">
        <v>530</v>
      </c>
      <c r="C406" s="11" t="s">
        <v>641</v>
      </c>
    </row>
    <row r="407" spans="1:3" x14ac:dyDescent="0.2">
      <c r="A407" s="1">
        <v>731</v>
      </c>
      <c r="B407" s="7" t="s">
        <v>529</v>
      </c>
      <c r="C407" s="11" t="s">
        <v>646</v>
      </c>
    </row>
    <row r="408" spans="1:3" x14ac:dyDescent="0.2">
      <c r="A408" s="1">
        <v>749</v>
      </c>
      <c r="B408" s="7" t="s">
        <v>1503</v>
      </c>
      <c r="C408" s="11" t="s">
        <v>661</v>
      </c>
    </row>
    <row r="409" spans="1:3" ht="25.5" x14ac:dyDescent="0.2">
      <c r="A409" s="1">
        <v>757</v>
      </c>
      <c r="B409" s="7" t="s">
        <v>1505</v>
      </c>
      <c r="C409" s="11" t="s">
        <v>795</v>
      </c>
    </row>
    <row r="410" spans="1:3" ht="38.25" x14ac:dyDescent="0.2">
      <c r="A410" s="1">
        <v>758</v>
      </c>
      <c r="B410" s="7" t="s">
        <v>531</v>
      </c>
      <c r="C410" s="11" t="s">
        <v>663</v>
      </c>
    </row>
    <row r="411" spans="1:3" ht="63.75" x14ac:dyDescent="0.2">
      <c r="A411" s="1">
        <v>759</v>
      </c>
      <c r="B411" s="1" t="s">
        <v>1508</v>
      </c>
      <c r="C411" s="185" t="s">
        <v>532</v>
      </c>
    </row>
    <row r="412" spans="1:3" ht="38.25" x14ac:dyDescent="0.2">
      <c r="A412" s="1">
        <v>760</v>
      </c>
      <c r="B412" s="1" t="s">
        <v>1512</v>
      </c>
      <c r="C412" s="186" t="s">
        <v>1817</v>
      </c>
    </row>
    <row r="413" spans="1:3" ht="38.25" x14ac:dyDescent="0.2">
      <c r="A413" s="1">
        <v>761</v>
      </c>
      <c r="B413" s="1" t="s">
        <v>533</v>
      </c>
      <c r="C413" s="186" t="s">
        <v>1818</v>
      </c>
    </row>
    <row r="414" spans="1:3" x14ac:dyDescent="0.2">
      <c r="A414" s="1">
        <v>762</v>
      </c>
      <c r="B414" s="1" t="s">
        <v>1516</v>
      </c>
      <c r="C414" s="186"/>
    </row>
    <row r="415" spans="1:3" ht="38.25" x14ac:dyDescent="0.2">
      <c r="A415" s="1">
        <v>763</v>
      </c>
      <c r="B415" s="1" t="s">
        <v>1520</v>
      </c>
      <c r="C415" s="186" t="s">
        <v>534</v>
      </c>
    </row>
    <row r="416" spans="1:3" x14ac:dyDescent="0.2">
      <c r="A416" s="1">
        <v>764</v>
      </c>
      <c r="B416" s="1" t="s">
        <v>535</v>
      </c>
      <c r="C416" s="186" t="s">
        <v>536</v>
      </c>
    </row>
    <row r="417" spans="1:3" ht="25.5" x14ac:dyDescent="0.2">
      <c r="A417" s="1">
        <v>765</v>
      </c>
      <c r="B417" s="1" t="s">
        <v>26</v>
      </c>
      <c r="C417" s="185" t="s">
        <v>1819</v>
      </c>
    </row>
    <row r="418" spans="1:3" x14ac:dyDescent="0.2">
      <c r="A418" s="1">
        <v>766</v>
      </c>
      <c r="B418" s="1" t="s">
        <v>1524</v>
      </c>
      <c r="C418" s="185"/>
    </row>
    <row r="419" spans="1:3" ht="165.75" x14ac:dyDescent="0.2">
      <c r="A419" s="1">
        <v>767</v>
      </c>
      <c r="B419" s="1" t="s">
        <v>1527</v>
      </c>
      <c r="C419" s="185" t="s">
        <v>1852</v>
      </c>
    </row>
    <row r="420" spans="1:3" x14ac:dyDescent="0.2">
      <c r="A420" s="1">
        <v>768</v>
      </c>
      <c r="B420" s="1" t="s">
        <v>1528</v>
      </c>
      <c r="C420" s="185"/>
    </row>
    <row r="421" spans="1:3" ht="25.5" x14ac:dyDescent="0.2">
      <c r="A421" s="1">
        <v>769</v>
      </c>
      <c r="B421" s="1" t="s">
        <v>1532</v>
      </c>
      <c r="C421" s="185" t="s">
        <v>537</v>
      </c>
    </row>
    <row r="422" spans="1:3" x14ac:dyDescent="0.2">
      <c r="A422" s="1">
        <v>770</v>
      </c>
      <c r="B422" s="1" t="s">
        <v>27</v>
      </c>
      <c r="C422" s="185"/>
    </row>
    <row r="423" spans="1:3" ht="25.5" x14ac:dyDescent="0.2">
      <c r="A423" s="22">
        <v>771</v>
      </c>
      <c r="B423" s="8" t="s">
        <v>1535</v>
      </c>
      <c r="C423" s="11" t="s">
        <v>538</v>
      </c>
    </row>
    <row r="424" spans="1:3" ht="38.25" x14ac:dyDescent="0.2">
      <c r="A424" s="22">
        <v>772</v>
      </c>
      <c r="B424" s="8" t="s">
        <v>1538</v>
      </c>
      <c r="C424" s="11" t="s">
        <v>664</v>
      </c>
    </row>
    <row r="425" spans="1:3" x14ac:dyDescent="0.2">
      <c r="A425" s="22">
        <v>773</v>
      </c>
      <c r="B425" s="8" t="s">
        <v>28</v>
      </c>
      <c r="C425" s="11"/>
    </row>
    <row r="426" spans="1:3" x14ac:dyDescent="0.2">
      <c r="A426" s="22">
        <v>774</v>
      </c>
      <c r="B426" s="8" t="s">
        <v>1542</v>
      </c>
      <c r="C426" s="11"/>
    </row>
    <row r="427" spans="1:3" x14ac:dyDescent="0.2">
      <c r="A427" s="22">
        <v>776</v>
      </c>
      <c r="B427" s="8" t="s">
        <v>1544</v>
      </c>
      <c r="C427" s="11"/>
    </row>
    <row r="428" spans="1:3" x14ac:dyDescent="0.2">
      <c r="A428" s="22">
        <v>777</v>
      </c>
      <c r="B428" s="8" t="s">
        <v>1547</v>
      </c>
      <c r="C428" s="11" t="s">
        <v>539</v>
      </c>
    </row>
    <row r="429" spans="1:3" x14ac:dyDescent="0.2">
      <c r="A429" s="22">
        <v>779</v>
      </c>
      <c r="B429" s="8" t="s">
        <v>1548</v>
      </c>
      <c r="C429" s="11"/>
    </row>
    <row r="430" spans="1:3" x14ac:dyDescent="0.2">
      <c r="A430" s="22">
        <v>780</v>
      </c>
      <c r="B430" s="8" t="s">
        <v>1680</v>
      </c>
      <c r="C430" s="187" t="s">
        <v>1679</v>
      </c>
    </row>
    <row r="431" spans="1:3" ht="25.5" x14ac:dyDescent="0.2">
      <c r="A431" s="1">
        <v>781</v>
      </c>
      <c r="B431" s="7" t="s">
        <v>499</v>
      </c>
      <c r="C431" s="11" t="s">
        <v>500</v>
      </c>
    </row>
    <row r="432" spans="1:3" x14ac:dyDescent="0.2">
      <c r="A432" s="1">
        <v>782</v>
      </c>
      <c r="B432" s="7" t="s">
        <v>1676</v>
      </c>
      <c r="C432" s="11"/>
    </row>
    <row r="433" spans="1:3" ht="25.5" x14ac:dyDescent="0.2">
      <c r="A433" s="22">
        <v>785</v>
      </c>
      <c r="B433" s="8" t="s">
        <v>1674</v>
      </c>
      <c r="C433" s="11" t="s">
        <v>542</v>
      </c>
    </row>
    <row r="434" spans="1:3" ht="25.5" x14ac:dyDescent="0.2">
      <c r="A434" s="22">
        <v>786</v>
      </c>
      <c r="B434" s="8" t="s">
        <v>1670</v>
      </c>
      <c r="C434" s="11"/>
    </row>
    <row r="435" spans="1:3" x14ac:dyDescent="0.2">
      <c r="A435" s="22">
        <v>787</v>
      </c>
      <c r="B435" s="8" t="s">
        <v>1669</v>
      </c>
      <c r="C435" s="11"/>
    </row>
    <row r="436" spans="1:3" x14ac:dyDescent="0.2">
      <c r="A436" s="22">
        <v>788</v>
      </c>
      <c r="B436" s="8" t="s">
        <v>1667</v>
      </c>
      <c r="C436" s="11"/>
    </row>
    <row r="437" spans="1:3" x14ac:dyDescent="0.2">
      <c r="A437" s="22">
        <v>789</v>
      </c>
      <c r="B437" s="8" t="s">
        <v>1664</v>
      </c>
      <c r="C437" s="11"/>
    </row>
    <row r="438" spans="1:3" x14ac:dyDescent="0.2">
      <c r="A438" s="22">
        <v>790</v>
      </c>
      <c r="B438" s="8" t="s">
        <v>1663</v>
      </c>
      <c r="C438" s="11"/>
    </row>
    <row r="439" spans="1:3" x14ac:dyDescent="0.2">
      <c r="A439" s="22">
        <v>791</v>
      </c>
      <c r="B439" s="8" t="s">
        <v>1661</v>
      </c>
      <c r="C439" s="11"/>
    </row>
    <row r="440" spans="1:3" x14ac:dyDescent="0.2">
      <c r="A440" s="22">
        <v>792</v>
      </c>
      <c r="B440" s="8" t="s">
        <v>1657</v>
      </c>
      <c r="C440" s="11"/>
    </row>
    <row r="441" spans="1:3" x14ac:dyDescent="0.2">
      <c r="A441" s="22">
        <v>793</v>
      </c>
      <c r="B441" s="8" t="s">
        <v>1656</v>
      </c>
      <c r="C441" s="11"/>
    </row>
    <row r="442" spans="1:3" ht="25.5" x14ac:dyDescent="0.2">
      <c r="A442" s="22">
        <v>794</v>
      </c>
      <c r="B442" s="8" t="s">
        <v>540</v>
      </c>
      <c r="C442" s="11" t="s">
        <v>541</v>
      </c>
    </row>
    <row r="443" spans="1:3" x14ac:dyDescent="0.2">
      <c r="A443" s="22">
        <v>796</v>
      </c>
      <c r="B443" s="8" t="s">
        <v>1652</v>
      </c>
      <c r="C443" s="11"/>
    </row>
    <row r="444" spans="1:3" x14ac:dyDescent="0.2">
      <c r="A444" s="22">
        <v>797</v>
      </c>
      <c r="B444" s="8" t="s">
        <v>1651</v>
      </c>
      <c r="C444" s="11"/>
    </row>
    <row r="445" spans="1:3" x14ac:dyDescent="0.2">
      <c r="A445" s="22">
        <v>798</v>
      </c>
      <c r="B445" s="8" t="s">
        <v>1649</v>
      </c>
      <c r="C445" s="11"/>
    </row>
    <row r="446" spans="1:3" ht="25.5" x14ac:dyDescent="0.2">
      <c r="A446" s="22">
        <v>799</v>
      </c>
      <c r="B446" s="8" t="s">
        <v>543</v>
      </c>
      <c r="C446" s="11" t="s">
        <v>544</v>
      </c>
    </row>
    <row r="447" spans="1:3" ht="38.25" x14ac:dyDescent="0.2">
      <c r="A447" s="22">
        <v>800</v>
      </c>
      <c r="B447" s="8" t="s">
        <v>1647</v>
      </c>
      <c r="C447" s="11" t="s">
        <v>1777</v>
      </c>
    </row>
    <row r="448" spans="1:3" x14ac:dyDescent="0.2">
      <c r="A448" s="22">
        <v>801</v>
      </c>
      <c r="B448" s="8" t="s">
        <v>1644</v>
      </c>
      <c r="C448" s="11" t="s">
        <v>545</v>
      </c>
    </row>
    <row r="449" spans="1:5" ht="38.25" x14ac:dyDescent="0.2">
      <c r="A449" s="22">
        <v>802</v>
      </c>
      <c r="B449" s="8" t="s">
        <v>1641</v>
      </c>
      <c r="C449" s="11" t="s">
        <v>1820</v>
      </c>
      <c r="D449" s="192"/>
      <c r="E449" s="192"/>
    </row>
    <row r="450" spans="1:5" ht="25.5" x14ac:dyDescent="0.2">
      <c r="A450" s="22">
        <v>803</v>
      </c>
      <c r="B450" s="8" t="s">
        <v>546</v>
      </c>
      <c r="C450" s="11" t="s">
        <v>547</v>
      </c>
    </row>
    <row r="451" spans="1:5" x14ac:dyDescent="0.2">
      <c r="A451" s="22">
        <v>804</v>
      </c>
      <c r="B451" s="8" t="s">
        <v>1638</v>
      </c>
      <c r="C451" s="11"/>
    </row>
    <row r="452" spans="1:5" ht="25.5" x14ac:dyDescent="0.2">
      <c r="A452" s="22">
        <v>805</v>
      </c>
      <c r="B452" s="8" t="s">
        <v>1636</v>
      </c>
      <c r="C452" s="11" t="s">
        <v>548</v>
      </c>
    </row>
    <row r="453" spans="1:5" x14ac:dyDescent="0.2">
      <c r="A453" s="22">
        <v>806</v>
      </c>
      <c r="B453" s="8" t="s">
        <v>1633</v>
      </c>
      <c r="C453" s="11"/>
    </row>
    <row r="454" spans="1:5" x14ac:dyDescent="0.2">
      <c r="A454" s="22">
        <v>807</v>
      </c>
      <c r="B454" s="8" t="s">
        <v>1630</v>
      </c>
      <c r="C454" s="11" t="s">
        <v>1631</v>
      </c>
    </row>
    <row r="455" spans="1:5" x14ac:dyDescent="0.2">
      <c r="A455" s="22">
        <v>808</v>
      </c>
      <c r="B455" s="8" t="s">
        <v>1627</v>
      </c>
      <c r="C455" s="11"/>
    </row>
    <row r="456" spans="1:5" x14ac:dyDescent="0.2">
      <c r="A456" s="22">
        <v>812</v>
      </c>
      <c r="B456" s="8" t="s">
        <v>30</v>
      </c>
      <c r="C456" s="11"/>
    </row>
    <row r="457" spans="1:5" x14ac:dyDescent="0.2">
      <c r="A457" s="22">
        <v>813</v>
      </c>
      <c r="B457" s="8" t="s">
        <v>1624</v>
      </c>
      <c r="C457" s="11"/>
    </row>
    <row r="458" spans="1:5" x14ac:dyDescent="0.2">
      <c r="A458" s="22">
        <v>814</v>
      </c>
      <c r="B458" s="8" t="s">
        <v>1623</v>
      </c>
      <c r="C458" s="11"/>
    </row>
    <row r="459" spans="1:5" x14ac:dyDescent="0.2">
      <c r="A459" s="22">
        <v>815</v>
      </c>
      <c r="B459" s="8" t="s">
        <v>1620</v>
      </c>
      <c r="C459" s="11"/>
    </row>
    <row r="460" spans="1:5" x14ac:dyDescent="0.2">
      <c r="A460" s="22">
        <v>816</v>
      </c>
      <c r="B460" s="8" t="s">
        <v>1618</v>
      </c>
      <c r="C460" s="11" t="s">
        <v>549</v>
      </c>
    </row>
    <row r="461" spans="1:5" x14ac:dyDescent="0.2">
      <c r="A461" s="22">
        <v>817</v>
      </c>
      <c r="B461" s="8" t="s">
        <v>1616</v>
      </c>
      <c r="C461" s="11"/>
    </row>
    <row r="462" spans="1:5" x14ac:dyDescent="0.2">
      <c r="A462" s="22">
        <v>818</v>
      </c>
      <c r="B462" s="8" t="s">
        <v>1613</v>
      </c>
      <c r="C462" s="11"/>
    </row>
    <row r="463" spans="1:5" x14ac:dyDescent="0.2">
      <c r="A463" s="22">
        <v>819</v>
      </c>
      <c r="B463" s="8" t="s">
        <v>1611</v>
      </c>
      <c r="C463" s="11" t="s">
        <v>550</v>
      </c>
    </row>
    <row r="464" spans="1:5" ht="114.75" x14ac:dyDescent="0.2">
      <c r="A464" s="22">
        <v>822</v>
      </c>
      <c r="B464" s="8" t="s">
        <v>1610</v>
      </c>
      <c r="C464" s="11" t="s">
        <v>787</v>
      </c>
    </row>
    <row r="465" spans="1:3" x14ac:dyDescent="0.2">
      <c r="A465" s="22">
        <v>823</v>
      </c>
      <c r="B465" s="8" t="s">
        <v>1605</v>
      </c>
      <c r="C465" s="11"/>
    </row>
    <row r="466" spans="1:3" x14ac:dyDescent="0.2">
      <c r="A466" s="22">
        <v>824</v>
      </c>
      <c r="B466" s="8" t="s">
        <v>1606</v>
      </c>
      <c r="C466" s="11"/>
    </row>
    <row r="467" spans="1:3" x14ac:dyDescent="0.2">
      <c r="A467" s="22">
        <v>825</v>
      </c>
      <c r="B467" s="8" t="s">
        <v>1602</v>
      </c>
      <c r="C467" s="11"/>
    </row>
    <row r="468" spans="1:3" x14ac:dyDescent="0.2">
      <c r="A468" s="22">
        <v>826</v>
      </c>
      <c r="B468" s="8" t="s">
        <v>1600</v>
      </c>
      <c r="C468" s="11"/>
    </row>
    <row r="469" spans="1:3" ht="38.25" x14ac:dyDescent="0.2">
      <c r="A469" s="22">
        <v>827</v>
      </c>
      <c r="B469" s="8" t="s">
        <v>1599</v>
      </c>
      <c r="C469" s="11" t="s">
        <v>551</v>
      </c>
    </row>
    <row r="470" spans="1:3" x14ac:dyDescent="0.2">
      <c r="A470" s="22">
        <v>828</v>
      </c>
      <c r="B470" s="8" t="s">
        <v>1596</v>
      </c>
      <c r="C470" s="11"/>
    </row>
    <row r="471" spans="1:3" x14ac:dyDescent="0.2">
      <c r="A471" s="22">
        <v>829</v>
      </c>
      <c r="B471" s="8" t="s">
        <v>1594</v>
      </c>
      <c r="C471" s="11"/>
    </row>
    <row r="472" spans="1:3" x14ac:dyDescent="0.2">
      <c r="A472" s="22">
        <v>830</v>
      </c>
      <c r="B472" s="8" t="s">
        <v>1592</v>
      </c>
      <c r="C472" s="11"/>
    </row>
    <row r="473" spans="1:3" x14ac:dyDescent="0.2">
      <c r="A473" s="22">
        <v>831</v>
      </c>
      <c r="B473" s="8" t="s">
        <v>31</v>
      </c>
      <c r="C473" s="11"/>
    </row>
    <row r="474" spans="1:3" ht="25.5" x14ac:dyDescent="0.2">
      <c r="A474" s="22">
        <v>832</v>
      </c>
      <c r="B474" s="8" t="s">
        <v>1588</v>
      </c>
      <c r="C474" s="11" t="s">
        <v>553</v>
      </c>
    </row>
    <row r="475" spans="1:3" x14ac:dyDescent="0.2">
      <c r="A475" s="116">
        <v>833</v>
      </c>
      <c r="B475" s="117" t="s">
        <v>1585</v>
      </c>
      <c r="C475" s="118"/>
    </row>
    <row r="476" spans="1:3" x14ac:dyDescent="0.2">
      <c r="A476" s="116">
        <v>834</v>
      </c>
      <c r="B476" s="117" t="s">
        <v>1583</v>
      </c>
      <c r="C476" s="118"/>
    </row>
    <row r="477" spans="1:3" x14ac:dyDescent="0.2">
      <c r="A477" s="109">
        <v>835</v>
      </c>
      <c r="B477" s="189" t="s">
        <v>1579</v>
      </c>
    </row>
    <row r="478" spans="1:3" ht="25.5" x14ac:dyDescent="0.2">
      <c r="A478" s="22">
        <v>836</v>
      </c>
      <c r="B478" s="8" t="s">
        <v>552</v>
      </c>
      <c r="C478" s="11" t="s">
        <v>1821</v>
      </c>
    </row>
    <row r="479" spans="1:3" x14ac:dyDescent="0.2">
      <c r="A479" s="22">
        <v>837</v>
      </c>
      <c r="B479" s="8" t="s">
        <v>1575</v>
      </c>
      <c r="C479" s="11"/>
    </row>
    <row r="480" spans="1:3" x14ac:dyDescent="0.2">
      <c r="A480" s="22">
        <v>838</v>
      </c>
      <c r="B480" s="8" t="s">
        <v>1571</v>
      </c>
      <c r="C480" s="11"/>
    </row>
    <row r="481" spans="1:3" x14ac:dyDescent="0.2">
      <c r="A481" s="1">
        <v>839</v>
      </c>
      <c r="B481" s="5" t="s">
        <v>1281</v>
      </c>
      <c r="C481" s="7" t="s">
        <v>796</v>
      </c>
    </row>
    <row r="482" spans="1:3" x14ac:dyDescent="0.2">
      <c r="A482" s="1">
        <v>840</v>
      </c>
      <c r="B482" s="5" t="s">
        <v>1570</v>
      </c>
      <c r="C482" s="7" t="s">
        <v>554</v>
      </c>
    </row>
    <row r="483" spans="1:3" x14ac:dyDescent="0.2">
      <c r="A483" s="1">
        <v>841</v>
      </c>
      <c r="B483" s="5" t="s">
        <v>1567</v>
      </c>
      <c r="C483" s="7"/>
    </row>
    <row r="484" spans="1:3" x14ac:dyDescent="0.2">
      <c r="A484" s="1">
        <v>842</v>
      </c>
      <c r="B484" s="5" t="s">
        <v>1563</v>
      </c>
      <c r="C484" s="7"/>
    </row>
    <row r="485" spans="1:3" ht="76.5" x14ac:dyDescent="0.2">
      <c r="A485" s="1">
        <v>843</v>
      </c>
      <c r="B485" s="5" t="s">
        <v>1561</v>
      </c>
      <c r="C485" s="7" t="s">
        <v>555</v>
      </c>
    </row>
    <row r="486" spans="1:3" x14ac:dyDescent="0.2">
      <c r="A486" s="1">
        <v>844</v>
      </c>
      <c r="B486" s="5" t="s">
        <v>1559</v>
      </c>
      <c r="C486" s="7"/>
    </row>
    <row r="487" spans="1:3" ht="38.25" x14ac:dyDescent="0.2">
      <c r="A487" s="1">
        <v>845</v>
      </c>
      <c r="B487" s="5" t="s">
        <v>1558</v>
      </c>
      <c r="C487" s="7" t="s">
        <v>556</v>
      </c>
    </row>
    <row r="488" spans="1:3" x14ac:dyDescent="0.2">
      <c r="A488" s="1">
        <v>847</v>
      </c>
      <c r="B488" s="5" t="s">
        <v>1554</v>
      </c>
      <c r="C488" s="7"/>
    </row>
    <row r="489" spans="1:3" x14ac:dyDescent="0.2">
      <c r="A489" s="1">
        <v>848</v>
      </c>
      <c r="B489" s="5" t="s">
        <v>1553</v>
      </c>
      <c r="C489" s="7"/>
    </row>
    <row r="490" spans="1:3" x14ac:dyDescent="0.2">
      <c r="A490" s="1">
        <v>849</v>
      </c>
      <c r="B490" s="5" t="s">
        <v>1551</v>
      </c>
      <c r="C490" s="7"/>
    </row>
    <row r="491" spans="1:3" x14ac:dyDescent="0.2">
      <c r="A491" s="1">
        <v>850</v>
      </c>
      <c r="B491" s="5" t="s">
        <v>1452</v>
      </c>
      <c r="C491" s="7"/>
    </row>
    <row r="492" spans="1:3" x14ac:dyDescent="0.2">
      <c r="A492" s="1">
        <v>851</v>
      </c>
      <c r="B492" s="5" t="s">
        <v>1451</v>
      </c>
      <c r="C492" s="7"/>
    </row>
    <row r="493" spans="1:3" x14ac:dyDescent="0.2">
      <c r="A493" s="1">
        <v>852</v>
      </c>
      <c r="B493" s="5" t="s">
        <v>1448</v>
      </c>
      <c r="C493" s="7"/>
    </row>
    <row r="494" spans="1:3" x14ac:dyDescent="0.2">
      <c r="A494" s="1">
        <v>853</v>
      </c>
      <c r="B494" s="5" t="s">
        <v>1446</v>
      </c>
      <c r="C494" s="7"/>
    </row>
    <row r="495" spans="1:3" ht="38.25" x14ac:dyDescent="0.2">
      <c r="A495" s="1">
        <v>854</v>
      </c>
      <c r="B495" s="5" t="s">
        <v>1444</v>
      </c>
      <c r="C495" s="7" t="s">
        <v>770</v>
      </c>
    </row>
    <row r="496" spans="1:3" x14ac:dyDescent="0.2">
      <c r="A496" s="1">
        <v>856</v>
      </c>
      <c r="B496" s="5" t="s">
        <v>1441</v>
      </c>
      <c r="C496" s="7"/>
    </row>
    <row r="497" spans="1:3" x14ac:dyDescent="0.2">
      <c r="A497" s="1">
        <v>857</v>
      </c>
      <c r="B497" s="5" t="s">
        <v>1438</v>
      </c>
      <c r="C497" s="7"/>
    </row>
    <row r="498" spans="1:3" ht="76.5" x14ac:dyDescent="0.2">
      <c r="A498" s="1">
        <v>858</v>
      </c>
      <c r="B498" s="5" t="s">
        <v>557</v>
      </c>
      <c r="C498" s="7" t="s">
        <v>1795</v>
      </c>
    </row>
    <row r="499" spans="1:3" x14ac:dyDescent="0.2">
      <c r="A499" s="1">
        <v>859</v>
      </c>
      <c r="B499" s="5" t="s">
        <v>1436</v>
      </c>
      <c r="C499" s="7"/>
    </row>
    <row r="500" spans="1:3" ht="25.5" x14ac:dyDescent="0.2">
      <c r="A500" s="1">
        <v>860</v>
      </c>
      <c r="B500" s="5" t="s">
        <v>1433</v>
      </c>
      <c r="C500" s="7" t="s">
        <v>558</v>
      </c>
    </row>
    <row r="501" spans="1:3" ht="38.25" x14ac:dyDescent="0.2">
      <c r="A501" s="1">
        <v>861</v>
      </c>
      <c r="B501" s="5" t="s">
        <v>1432</v>
      </c>
      <c r="C501" s="7" t="s">
        <v>559</v>
      </c>
    </row>
    <row r="502" spans="1:3" ht="25.5" x14ac:dyDescent="0.2">
      <c r="A502" s="1">
        <v>863</v>
      </c>
      <c r="B502" s="5" t="s">
        <v>1841</v>
      </c>
      <c r="C502" s="7" t="s">
        <v>651</v>
      </c>
    </row>
    <row r="503" spans="1:3" ht="89.25" x14ac:dyDescent="0.2">
      <c r="A503" s="1">
        <v>862</v>
      </c>
      <c r="B503" s="5" t="s">
        <v>560</v>
      </c>
      <c r="C503" s="7" t="s">
        <v>1843</v>
      </c>
    </row>
    <row r="504" spans="1:3" x14ac:dyDescent="0.2">
      <c r="A504" s="109">
        <v>864</v>
      </c>
      <c r="B504" s="189" t="s">
        <v>1423</v>
      </c>
    </row>
    <row r="505" spans="1:3" ht="127.5" x14ac:dyDescent="0.2">
      <c r="A505" s="1">
        <v>865</v>
      </c>
      <c r="B505" s="5" t="s">
        <v>561</v>
      </c>
      <c r="C505" s="7" t="s">
        <v>1822</v>
      </c>
    </row>
    <row r="506" spans="1:3" x14ac:dyDescent="0.2">
      <c r="A506" s="1">
        <v>866</v>
      </c>
      <c r="B506" s="5" t="s">
        <v>1419</v>
      </c>
      <c r="C506" s="7"/>
    </row>
    <row r="507" spans="1:3" x14ac:dyDescent="0.2">
      <c r="A507" s="1">
        <v>867</v>
      </c>
      <c r="B507" s="5" t="s">
        <v>1290</v>
      </c>
      <c r="C507" s="7"/>
    </row>
    <row r="508" spans="1:3" ht="25.5" x14ac:dyDescent="0.2">
      <c r="A508" s="1">
        <v>869</v>
      </c>
      <c r="B508" s="5" t="s">
        <v>562</v>
      </c>
      <c r="C508" s="7" t="s">
        <v>655</v>
      </c>
    </row>
    <row r="509" spans="1:3" x14ac:dyDescent="0.2">
      <c r="A509" s="1">
        <v>870</v>
      </c>
      <c r="B509" s="5" t="s">
        <v>1415</v>
      </c>
      <c r="C509" s="7"/>
    </row>
    <row r="510" spans="1:3" x14ac:dyDescent="0.2">
      <c r="A510" s="1">
        <v>871</v>
      </c>
      <c r="B510" s="5" t="s">
        <v>1413</v>
      </c>
      <c r="C510" s="7"/>
    </row>
    <row r="511" spans="1:3" x14ac:dyDescent="0.2">
      <c r="A511" s="1">
        <v>872</v>
      </c>
      <c r="B511" s="5" t="s">
        <v>1412</v>
      </c>
      <c r="C511" s="7"/>
    </row>
    <row r="512" spans="1:3" x14ac:dyDescent="0.2">
      <c r="A512" s="1">
        <v>873</v>
      </c>
      <c r="B512" s="5" t="s">
        <v>1409</v>
      </c>
      <c r="C512" s="7"/>
    </row>
    <row r="513" spans="1:3" x14ac:dyDescent="0.2">
      <c r="A513" s="1">
        <v>874</v>
      </c>
      <c r="B513" s="5" t="s">
        <v>1407</v>
      </c>
      <c r="C513" s="7"/>
    </row>
    <row r="514" spans="1:3" x14ac:dyDescent="0.2">
      <c r="A514" s="1">
        <v>875</v>
      </c>
      <c r="B514" s="5" t="s">
        <v>1405</v>
      </c>
      <c r="C514" s="7"/>
    </row>
    <row r="515" spans="1:3" x14ac:dyDescent="0.2">
      <c r="A515" s="15">
        <v>877</v>
      </c>
      <c r="B515" s="188" t="s">
        <v>1403</v>
      </c>
      <c r="C515" s="7" t="s">
        <v>563</v>
      </c>
    </row>
    <row r="516" spans="1:3" x14ac:dyDescent="0.2">
      <c r="A516" s="15">
        <v>878</v>
      </c>
      <c r="B516" s="188" t="s">
        <v>1401</v>
      </c>
      <c r="C516" s="7"/>
    </row>
    <row r="517" spans="1:3" ht="25.5" x14ac:dyDescent="0.2">
      <c r="A517" s="15">
        <v>879</v>
      </c>
      <c r="B517" s="188" t="s">
        <v>33</v>
      </c>
      <c r="C517" s="7" t="s">
        <v>564</v>
      </c>
    </row>
    <row r="518" spans="1:3" x14ac:dyDescent="0.2">
      <c r="A518" s="15">
        <v>881</v>
      </c>
      <c r="B518" s="188" t="s">
        <v>1398</v>
      </c>
      <c r="C518" s="7"/>
    </row>
    <row r="519" spans="1:3" x14ac:dyDescent="0.2">
      <c r="A519" s="15">
        <v>882</v>
      </c>
      <c r="B519" s="188" t="s">
        <v>1396</v>
      </c>
      <c r="C519" s="7"/>
    </row>
    <row r="520" spans="1:3" x14ac:dyDescent="0.2">
      <c r="A520" s="15">
        <v>884</v>
      </c>
      <c r="B520" s="188" t="s">
        <v>34</v>
      </c>
      <c r="C520" s="7"/>
    </row>
    <row r="521" spans="1:3" x14ac:dyDescent="0.2">
      <c r="A521" s="15">
        <v>885</v>
      </c>
      <c r="B521" s="188" t="s">
        <v>1393</v>
      </c>
      <c r="C521" s="7" t="s">
        <v>1714</v>
      </c>
    </row>
    <row r="522" spans="1:3" x14ac:dyDescent="0.2">
      <c r="A522" s="15">
        <v>886</v>
      </c>
      <c r="B522" s="188" t="s">
        <v>1303</v>
      </c>
      <c r="C522" s="7"/>
    </row>
    <row r="523" spans="1:3" x14ac:dyDescent="0.2">
      <c r="A523" s="15">
        <v>887</v>
      </c>
      <c r="B523" s="188" t="s">
        <v>1391</v>
      </c>
      <c r="C523" s="7"/>
    </row>
    <row r="524" spans="1:3" x14ac:dyDescent="0.2">
      <c r="A524" s="15">
        <v>888</v>
      </c>
      <c r="B524" s="188" t="s">
        <v>1389</v>
      </c>
      <c r="C524" s="7"/>
    </row>
    <row r="525" spans="1:3" x14ac:dyDescent="0.2">
      <c r="A525" s="15">
        <v>889</v>
      </c>
      <c r="B525" s="188" t="s">
        <v>1387</v>
      </c>
      <c r="C525" s="7"/>
    </row>
    <row r="526" spans="1:3" x14ac:dyDescent="0.2">
      <c r="A526" s="15">
        <v>891</v>
      </c>
      <c r="B526" s="188" t="s">
        <v>1386</v>
      </c>
      <c r="C526" s="7"/>
    </row>
    <row r="527" spans="1:3" x14ac:dyDescent="0.2">
      <c r="A527" s="15">
        <v>892</v>
      </c>
      <c r="B527" s="188" t="s">
        <v>1384</v>
      </c>
      <c r="C527" s="7"/>
    </row>
    <row r="528" spans="1:3" x14ac:dyDescent="0.2">
      <c r="A528" s="15">
        <v>893</v>
      </c>
      <c r="B528" s="188" t="s">
        <v>1308</v>
      </c>
      <c r="C528" s="7"/>
    </row>
    <row r="529" spans="1:3" x14ac:dyDescent="0.2">
      <c r="A529" s="1">
        <v>894</v>
      </c>
      <c r="B529" s="5" t="s">
        <v>1306</v>
      </c>
      <c r="C529" s="7"/>
    </row>
    <row r="530" spans="1:3" x14ac:dyDescent="0.2">
      <c r="A530" s="1">
        <v>895</v>
      </c>
      <c r="B530" s="5" t="s">
        <v>35</v>
      </c>
      <c r="C530" s="7"/>
    </row>
    <row r="531" spans="1:3" ht="51" x14ac:dyDescent="0.2">
      <c r="A531" s="15">
        <v>896</v>
      </c>
      <c r="B531" s="188" t="s">
        <v>652</v>
      </c>
      <c r="C531" s="7" t="s">
        <v>1704</v>
      </c>
    </row>
    <row r="532" spans="1:3" x14ac:dyDescent="0.2">
      <c r="A532" s="15">
        <v>898</v>
      </c>
      <c r="B532" s="188" t="s">
        <v>1300</v>
      </c>
      <c r="C532" s="7"/>
    </row>
    <row r="533" spans="1:3" x14ac:dyDescent="0.2">
      <c r="A533" s="15">
        <v>901</v>
      </c>
      <c r="B533" s="188" t="s">
        <v>1279</v>
      </c>
      <c r="C533" s="7"/>
    </row>
    <row r="534" spans="1:3" ht="38.25" x14ac:dyDescent="0.2">
      <c r="A534" s="15">
        <v>902</v>
      </c>
      <c r="B534" s="188" t="s">
        <v>1298</v>
      </c>
      <c r="C534" s="7" t="s">
        <v>1840</v>
      </c>
    </row>
    <row r="535" spans="1:3" x14ac:dyDescent="0.2">
      <c r="A535" s="15">
        <v>904</v>
      </c>
      <c r="B535" s="188" t="s">
        <v>1296</v>
      </c>
      <c r="C535" s="7" t="s">
        <v>767</v>
      </c>
    </row>
    <row r="536" spans="1:3" x14ac:dyDescent="0.2">
      <c r="A536" s="15">
        <v>905</v>
      </c>
      <c r="B536" s="188" t="s">
        <v>1275</v>
      </c>
      <c r="C536" s="7"/>
    </row>
    <row r="537" spans="1:3" x14ac:dyDescent="0.2">
      <c r="A537" s="15">
        <v>906</v>
      </c>
      <c r="B537" s="188" t="s">
        <v>1293</v>
      </c>
      <c r="C537" s="7"/>
    </row>
    <row r="538" spans="1:3" x14ac:dyDescent="0.2">
      <c r="A538" s="15">
        <v>907</v>
      </c>
      <c r="B538" s="188" t="s">
        <v>776</v>
      </c>
      <c r="C538" s="7"/>
    </row>
    <row r="539" spans="1:3" x14ac:dyDescent="0.2">
      <c r="A539" s="15">
        <v>908</v>
      </c>
      <c r="B539" s="188" t="s">
        <v>771</v>
      </c>
      <c r="C539" s="7"/>
    </row>
    <row r="540" spans="1:3" x14ac:dyDescent="0.2">
      <c r="A540" s="200">
        <v>910</v>
      </c>
      <c r="B540" s="189" t="s">
        <v>1772</v>
      </c>
    </row>
    <row r="541" spans="1:3" x14ac:dyDescent="0.2">
      <c r="A541" s="200">
        <v>913</v>
      </c>
      <c r="B541" s="189" t="s">
        <v>1839</v>
      </c>
    </row>
    <row r="542" spans="1:3" ht="102" x14ac:dyDescent="0.2">
      <c r="A542" s="2">
        <v>1009</v>
      </c>
      <c r="B542" s="7" t="s">
        <v>565</v>
      </c>
      <c r="C542" s="11" t="s">
        <v>1823</v>
      </c>
    </row>
    <row r="543" spans="1:3" ht="25.5" x14ac:dyDescent="0.2">
      <c r="A543" s="2">
        <v>1010</v>
      </c>
      <c r="B543" s="7" t="s">
        <v>1287</v>
      </c>
      <c r="C543" s="11" t="s">
        <v>1824</v>
      </c>
    </row>
    <row r="544" spans="1:3" ht="63.75" x14ac:dyDescent="0.2">
      <c r="A544" s="2">
        <v>1011</v>
      </c>
      <c r="B544" s="7" t="s">
        <v>1286</v>
      </c>
      <c r="C544" s="11" t="s">
        <v>1825</v>
      </c>
    </row>
    <row r="545" spans="1:4" ht="38.25" x14ac:dyDescent="0.2">
      <c r="A545" s="1">
        <v>1012</v>
      </c>
      <c r="B545" s="7" t="s">
        <v>1284</v>
      </c>
      <c r="C545" s="11" t="s">
        <v>768</v>
      </c>
    </row>
    <row r="546" spans="1:4" x14ac:dyDescent="0.2">
      <c r="A546" s="1">
        <v>1013</v>
      </c>
      <c r="B546" s="7" t="s">
        <v>566</v>
      </c>
      <c r="C546" s="11" t="s">
        <v>59</v>
      </c>
    </row>
    <row r="547" spans="1:4" x14ac:dyDescent="0.2">
      <c r="A547" s="1">
        <v>1014</v>
      </c>
      <c r="B547" s="7" t="s">
        <v>1709</v>
      </c>
      <c r="C547" s="11" t="s">
        <v>567</v>
      </c>
      <c r="D547" s="189" t="s">
        <v>1276</v>
      </c>
    </row>
    <row r="548" spans="1:4" x14ac:dyDescent="0.2">
      <c r="A548" s="1">
        <v>1014</v>
      </c>
      <c r="B548" s="7" t="s">
        <v>1709</v>
      </c>
      <c r="C548" s="11" t="s">
        <v>1277</v>
      </c>
    </row>
    <row r="549" spans="1:4" x14ac:dyDescent="0.2">
      <c r="A549" s="1">
        <v>1017</v>
      </c>
      <c r="B549" s="7" t="s">
        <v>568</v>
      </c>
      <c r="C549" s="11" t="s">
        <v>569</v>
      </c>
    </row>
    <row r="550" spans="1:4" x14ac:dyDescent="0.2">
      <c r="A550" s="1">
        <v>1023</v>
      </c>
      <c r="B550" s="7" t="s">
        <v>1271</v>
      </c>
      <c r="C550" s="11" t="s">
        <v>1272</v>
      </c>
    </row>
    <row r="551" spans="1:4" x14ac:dyDescent="0.2">
      <c r="A551" s="1">
        <v>1024</v>
      </c>
      <c r="B551" s="7" t="s">
        <v>570</v>
      </c>
      <c r="C551" s="11" t="s">
        <v>571</v>
      </c>
    </row>
    <row r="552" spans="1:4" x14ac:dyDescent="0.2">
      <c r="A552" s="1">
        <v>1029</v>
      </c>
      <c r="B552" s="7" t="s">
        <v>36</v>
      </c>
      <c r="C552" s="11" t="s">
        <v>572</v>
      </c>
      <c r="D552" s="189" t="s">
        <v>1269</v>
      </c>
    </row>
    <row r="553" spans="1:4" x14ac:dyDescent="0.2">
      <c r="A553" s="1">
        <v>1033</v>
      </c>
      <c r="B553" s="7" t="s">
        <v>573</v>
      </c>
      <c r="C553" s="11" t="s">
        <v>59</v>
      </c>
    </row>
    <row r="554" spans="1:4" x14ac:dyDescent="0.2">
      <c r="A554" s="1">
        <v>1035</v>
      </c>
      <c r="B554" s="7" t="s">
        <v>1266</v>
      </c>
      <c r="C554" s="11" t="s">
        <v>574</v>
      </c>
      <c r="D554" s="189" t="s">
        <v>1268</v>
      </c>
    </row>
    <row r="555" spans="1:4" x14ac:dyDescent="0.2">
      <c r="A555" s="1">
        <v>1042</v>
      </c>
      <c r="B555" s="7" t="s">
        <v>575</v>
      </c>
      <c r="C555" s="11" t="s">
        <v>576</v>
      </c>
    </row>
    <row r="556" spans="1:4" ht="63.75" x14ac:dyDescent="0.2">
      <c r="A556" s="1">
        <v>1045</v>
      </c>
      <c r="B556" s="7" t="s">
        <v>577</v>
      </c>
      <c r="C556" s="11" t="s">
        <v>578</v>
      </c>
    </row>
    <row r="557" spans="1:4" x14ac:dyDescent="0.2">
      <c r="A557" s="1">
        <v>1046</v>
      </c>
      <c r="B557" s="7" t="s">
        <v>579</v>
      </c>
      <c r="C557" s="11" t="s">
        <v>440</v>
      </c>
    </row>
    <row r="558" spans="1:4" x14ac:dyDescent="0.2">
      <c r="A558" s="23">
        <v>1054</v>
      </c>
      <c r="B558" s="7" t="s">
        <v>1264</v>
      </c>
      <c r="C558" s="11" t="s">
        <v>580</v>
      </c>
    </row>
    <row r="559" spans="1:4" x14ac:dyDescent="0.2">
      <c r="A559" s="1">
        <v>1060</v>
      </c>
      <c r="B559" s="7" t="s">
        <v>581</v>
      </c>
      <c r="C559" s="11" t="s">
        <v>582</v>
      </c>
    </row>
    <row r="560" spans="1:4" ht="25.5" x14ac:dyDescent="0.2">
      <c r="A560" s="1">
        <v>1061</v>
      </c>
      <c r="B560" s="7" t="s">
        <v>583</v>
      </c>
      <c r="C560" s="11" t="s">
        <v>584</v>
      </c>
    </row>
    <row r="561" spans="1:4" ht="51" x14ac:dyDescent="0.2">
      <c r="A561" s="1">
        <v>1062</v>
      </c>
      <c r="B561" s="7" t="s">
        <v>585</v>
      </c>
      <c r="C561" s="11" t="s">
        <v>586</v>
      </c>
    </row>
    <row r="562" spans="1:4" ht="38.25" x14ac:dyDescent="0.2">
      <c r="A562" s="23">
        <v>1068</v>
      </c>
      <c r="B562" s="7" t="s">
        <v>587</v>
      </c>
      <c r="C562" s="11" t="s">
        <v>588</v>
      </c>
    </row>
    <row r="563" spans="1:4" ht="63.75" x14ac:dyDescent="0.2">
      <c r="A563" s="1">
        <v>1069</v>
      </c>
      <c r="B563" s="7" t="s">
        <v>589</v>
      </c>
      <c r="C563" s="11" t="s">
        <v>590</v>
      </c>
    </row>
    <row r="564" spans="1:4" ht="25.5" x14ac:dyDescent="0.2">
      <c r="A564" s="23">
        <v>1071</v>
      </c>
      <c r="B564" s="7" t="s">
        <v>591</v>
      </c>
      <c r="C564" s="11" t="s">
        <v>58</v>
      </c>
    </row>
    <row r="565" spans="1:4" x14ac:dyDescent="0.2">
      <c r="A565" s="1">
        <v>1076</v>
      </c>
      <c r="B565" s="7" t="s">
        <v>592</v>
      </c>
      <c r="C565" s="11"/>
    </row>
    <row r="566" spans="1:4" ht="63.75" x14ac:dyDescent="0.2">
      <c r="A566" s="2">
        <v>1077</v>
      </c>
      <c r="B566" s="7" t="s">
        <v>1261</v>
      </c>
      <c r="C566" s="11" t="s">
        <v>593</v>
      </c>
    </row>
    <row r="567" spans="1:4" x14ac:dyDescent="0.2">
      <c r="A567" s="23">
        <v>1079</v>
      </c>
      <c r="B567" s="7" t="s">
        <v>594</v>
      </c>
      <c r="C567" s="11" t="s">
        <v>59</v>
      </c>
    </row>
    <row r="568" spans="1:4" ht="25.5" x14ac:dyDescent="0.2">
      <c r="A568" s="1">
        <v>1081</v>
      </c>
      <c r="B568" s="7" t="s">
        <v>1259</v>
      </c>
      <c r="C568" s="11" t="s">
        <v>666</v>
      </c>
      <c r="D568" s="189" t="s">
        <v>949</v>
      </c>
    </row>
    <row r="569" spans="1:4" x14ac:dyDescent="0.2">
      <c r="A569" s="1" t="s">
        <v>595</v>
      </c>
      <c r="B569" s="7" t="s">
        <v>596</v>
      </c>
      <c r="C569" s="11"/>
    </row>
    <row r="570" spans="1:4" x14ac:dyDescent="0.2">
      <c r="A570" s="1">
        <v>1090</v>
      </c>
      <c r="B570" s="7" t="s">
        <v>1256</v>
      </c>
      <c r="C570" s="11"/>
    </row>
    <row r="571" spans="1:4" ht="38.25" x14ac:dyDescent="0.2">
      <c r="A571" s="1">
        <v>1091</v>
      </c>
      <c r="B571" s="7" t="s">
        <v>1254</v>
      </c>
      <c r="C571" s="11" t="s">
        <v>597</v>
      </c>
    </row>
  </sheetData>
  <customSheetViews>
    <customSheetView guid="{7B976439-AAC9-41C3-BCF0-6D93775196CD}" topLeftCell="A302">
      <selection activeCell="B326" sqref="B326"/>
      <pageMargins left="0.511811024" right="0.511811024" top="0.78740157499999996" bottom="0.78740157499999996" header="0.31496062000000002" footer="0.31496062000000002"/>
      <pageSetup paperSize="9" orientation="portrait" horizontalDpi="10" verticalDpi="150" r:id="rId1"/>
    </customSheetView>
    <customSheetView guid="{DFB7C661-5C1D-4491-B5BB-D24125818F62}" showPageBreaks="1" topLeftCell="A121">
      <selection activeCell="C194" sqref="C194"/>
      <pageMargins left="0.511811024" right="0.511811024" top="0.78740157499999996" bottom="0.78740157499999996" header="0.31496062000000002" footer="0.31496062000000002"/>
      <pageSetup paperSize="9" orientation="portrait" horizontalDpi="10" verticalDpi="150" r:id="rId2"/>
    </customSheetView>
    <customSheetView guid="{52D4489E-F705-44D0-BDD7-2E61E89BBFE2}" topLeftCell="A496">
      <selection activeCell="C503" sqref="C503"/>
      <pageMargins left="0.511811024" right="0.511811024" top="0.78740157499999996" bottom="0.78740157499999996" header="0.31496062000000002" footer="0.31496062000000002"/>
      <pageSetup paperSize="9" orientation="portrait" horizontalDpi="10" verticalDpi="150" r:id="rId3"/>
    </customSheetView>
    <customSheetView guid="{590CEBDA-E7AE-4D8D-8613-56208662CCA9}" topLeftCell="A457">
      <selection activeCell="B460" sqref="B460"/>
      <pageMargins left="0.511811024" right="0.511811024" top="0.78740157499999996" bottom="0.78740157499999996" header="0.31496062000000002" footer="0.31496062000000002"/>
      <pageSetup paperSize="9" orientation="portrait" horizontalDpi="10" verticalDpi="150" r:id="rId4"/>
    </customSheetView>
    <customSheetView guid="{3BCABC4F-4072-4ED9-90CC-E9BE96773387}" showPageBreaks="1" topLeftCell="A496">
      <selection activeCell="C503" sqref="C503"/>
      <pageMargins left="0.511811024" right="0.511811024" top="0.78740157499999996" bottom="0.78740157499999996" header="0.31496062000000002" footer="0.31496062000000002"/>
      <pageSetup paperSize="9" orientation="portrait" horizontalDpi="10" verticalDpi="150" r:id="rId5"/>
    </customSheetView>
    <customSheetView guid="{44627F90-111A-4938-A3EC-3F862F83F7D7}" showPageBreaks="1" topLeftCell="A14">
      <selection activeCell="B399" sqref="B399"/>
      <pageMargins left="0.511811024" right="0.511811024" top="0.78740157499999996" bottom="0.78740157499999996" header="0.31496062000000002" footer="0.31496062000000002"/>
      <pageSetup paperSize="9" orientation="portrait" horizontalDpi="10" verticalDpi="150" r:id="rId6"/>
    </customSheetView>
    <customSheetView guid="{4AD023DC-4B9E-473F-AB98-4A1747DCD454}" topLeftCell="A302">
      <selection activeCell="B326" sqref="B326"/>
      <pageMargins left="0.511811024" right="0.511811024" top="0.78740157499999996" bottom="0.78740157499999996" header="0.31496062000000002" footer="0.31496062000000002"/>
      <pageSetup paperSize="9" orientation="portrait" horizontalDpi="10" verticalDpi="150" r:id="rId7"/>
    </customSheetView>
    <customSheetView guid="{EA2840B9-4395-4F38-9C2E-B3C8A78F8E87}" topLeftCell="A421">
      <selection activeCell="C427" sqref="C427"/>
      <pageMargins left="0.511811024" right="0.511811024" top="0.78740157499999996" bottom="0.78740157499999996" header="0.31496062000000002" footer="0.31496062000000002"/>
      <pageSetup paperSize="9" orientation="portrait" horizontalDpi="10" verticalDpi="150" r:id="rId8"/>
    </customSheetView>
    <customSheetView guid="{DAEEB123-9C5D-4BF0-8F09-E7DEBC62D826}" showPageBreaks="1" topLeftCell="A532">
      <selection activeCell="C534" sqref="C534"/>
      <pageMargins left="0.511811024" right="0.511811024" top="0.78740157499999996" bottom="0.78740157499999996" header="0.31496062000000002" footer="0.31496062000000002"/>
      <pageSetup paperSize="9" orientation="portrait" horizontalDpi="10" verticalDpi="150" r:id="rId9"/>
    </customSheetView>
  </customSheetViews>
  <pageMargins left="0.511811024" right="0.511811024" top="0.78740157499999996" bottom="0.78740157499999996" header="0.31496062000000002" footer="0.31496062000000002"/>
  <pageSetup paperSize="9" orientation="portrait" horizontalDpi="10" verticalDpi="150"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L10:O10"/>
  <sheetViews>
    <sheetView workbookViewId="0">
      <selection activeCell="N10" sqref="N10"/>
    </sheetView>
  </sheetViews>
  <sheetFormatPr defaultRowHeight="15" x14ac:dyDescent="0.25"/>
  <sheetData>
    <row r="10" spans="12:15" x14ac:dyDescent="0.25">
      <c r="L10">
        <v>0.08</v>
      </c>
      <c r="M10">
        <v>12185.73</v>
      </c>
      <c r="O10">
        <f>L10*M10</f>
        <v>974.85839999999996</v>
      </c>
    </row>
  </sheetData>
  <customSheetViews>
    <customSheetView guid="{7B976439-AAC9-41C3-BCF0-6D93775196CD}">
      <selection activeCell="N10" sqref="N10"/>
      <pageMargins left="0.511811024" right="0.511811024" top="0.78740157499999996" bottom="0.78740157499999996" header="0.31496062000000002" footer="0.31496062000000002"/>
    </customSheetView>
    <customSheetView guid="{DFB7C661-5C1D-4491-B5BB-D24125818F62}" showPageBreaks="1">
      <selection activeCell="N10" sqref="N10"/>
      <pageMargins left="0.511811024" right="0.511811024" top="0.78740157499999996" bottom="0.78740157499999996" header="0.31496062000000002" footer="0.31496062000000002"/>
      <pageSetup paperSize="9" orientation="portrait" horizontalDpi="1200" verticalDpi="1200" r:id="rId1"/>
    </customSheetView>
    <customSheetView guid="{52D4489E-F705-44D0-BDD7-2E61E89BBFE2}">
      <selection activeCell="N10" sqref="N10"/>
      <pageMargins left="0.511811024" right="0.511811024" top="0.78740157499999996" bottom="0.78740157499999996" header="0.31496062000000002" footer="0.31496062000000002"/>
      <pageSetup paperSize="9" orientation="portrait" horizontalDpi="1200" verticalDpi="1200" r:id="rId2"/>
    </customSheetView>
    <customSheetView guid="{590CEBDA-E7AE-4D8D-8613-56208662CCA9}">
      <selection activeCell="N10" sqref="N10"/>
      <pageMargins left="0.511811024" right="0.511811024" top="0.78740157499999996" bottom="0.78740157499999996" header="0.31496062000000002" footer="0.31496062000000002"/>
    </customSheetView>
    <customSheetView guid="{3BCABC4F-4072-4ED9-90CC-E9BE96773387}" showPageBreaks="1">
      <selection activeCell="N10" sqref="N10"/>
      <pageMargins left="0.511811024" right="0.511811024" top="0.78740157499999996" bottom="0.78740157499999996" header="0.31496062000000002" footer="0.31496062000000002"/>
      <pageSetup paperSize="9" orientation="portrait" horizontalDpi="1200" verticalDpi="1200" r:id="rId3"/>
    </customSheetView>
    <customSheetView guid="{44627F90-111A-4938-A3EC-3F862F83F7D7}" showPageBreaks="1">
      <selection activeCell="N10" sqref="N10"/>
      <pageMargins left="0.511811024" right="0.511811024" top="0.78740157499999996" bottom="0.78740157499999996" header="0.31496062000000002" footer="0.31496062000000002"/>
      <pageSetup paperSize="9" orientation="portrait" horizontalDpi="300" verticalDpi="300" r:id="rId4"/>
    </customSheetView>
    <customSheetView guid="{4AD023DC-4B9E-473F-AB98-4A1747DCD454}">
      <selection activeCell="N10" sqref="N10"/>
      <pageMargins left="0.511811024" right="0.511811024" top="0.78740157499999996" bottom="0.78740157499999996" header="0.31496062000000002" footer="0.31496062000000002"/>
    </customSheetView>
    <customSheetView guid="{EA2840B9-4395-4F38-9C2E-B3C8A78F8E87}">
      <selection activeCell="N10" sqref="N10"/>
      <pageMargins left="0.511811024" right="0.511811024" top="0.78740157499999996" bottom="0.78740157499999996" header="0.31496062000000002" footer="0.31496062000000002"/>
      <pageSetup paperSize="9" orientation="portrait" horizontalDpi="300" verticalDpi="300" r:id="rId5"/>
    </customSheetView>
    <customSheetView guid="{DAEEB123-9C5D-4BF0-8F09-E7DEBC62D826}" showPageBreaks="1">
      <selection activeCell="N10" sqref="N10"/>
      <pageMargins left="0.511811024" right="0.511811024" top="0.78740157499999996" bottom="0.78740157499999996" header="0.31496062000000002" footer="0.31496062000000002"/>
      <pageSetup paperSize="9" orientation="portrait" horizontalDpi="1200" verticalDpi="1200" r:id="rId6"/>
    </customSheetView>
  </customSheetView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B1:F82"/>
  <sheetViews>
    <sheetView workbookViewId="0">
      <selection activeCell="C7" sqref="C3:C7"/>
    </sheetView>
  </sheetViews>
  <sheetFormatPr defaultRowHeight="15" x14ac:dyDescent="0.25"/>
  <cols>
    <col min="2" max="2" width="18.28515625" customWidth="1"/>
    <col min="3" max="3" width="27.5703125" customWidth="1"/>
    <col min="4" max="4" width="40.7109375" bestFit="1" customWidth="1"/>
    <col min="5" max="5" width="26.85546875" bestFit="1" customWidth="1"/>
  </cols>
  <sheetData>
    <row r="1" spans="2:6" x14ac:dyDescent="0.25">
      <c r="B1" s="204"/>
      <c r="C1" s="204"/>
      <c r="D1" s="204"/>
      <c r="E1" s="204"/>
    </row>
    <row r="2" spans="2:6" x14ac:dyDescent="0.25">
      <c r="B2" s="24" t="s">
        <v>598</v>
      </c>
      <c r="C2" s="25" t="s">
        <v>600</v>
      </c>
      <c r="D2" s="25" t="s">
        <v>601</v>
      </c>
      <c r="E2" s="25" t="s">
        <v>602</v>
      </c>
    </row>
    <row r="3" spans="2:6" x14ac:dyDescent="0.25">
      <c r="B3" s="26" t="s">
        <v>48</v>
      </c>
      <c r="C3" s="27">
        <f>SUMIFS('Controle Empresas'!I:I,'Controle Empresas'!G:G,B3,'Controle Empresas'!H:H,"S")</f>
        <v>37</v>
      </c>
      <c r="D3" s="27">
        <f>COUNTIFS('Controle Empresas'!G:G,B3,'Controle Empresas'!H:H,"N")</f>
        <v>0</v>
      </c>
      <c r="E3" s="28">
        <f>COUNTIFS('Controle Empresas'!G:G,B3)</f>
        <v>1</v>
      </c>
    </row>
    <row r="4" spans="2:6" x14ac:dyDescent="0.25">
      <c r="B4" s="26" t="s">
        <v>46</v>
      </c>
      <c r="C4" s="27">
        <f>SUMIFS('Controle Empresas'!I:I,'Controle Empresas'!G:G,B4,'Controle Empresas'!H:H,"S")</f>
        <v>186</v>
      </c>
      <c r="D4" s="27">
        <f>COUNTIFS('Controle Empresas'!G:G,B4,'Controle Empresas'!H:H,"N")</f>
        <v>0</v>
      </c>
      <c r="E4" s="28">
        <f>COUNTIFS('Controle Empresas'!G:G,B4)</f>
        <v>59</v>
      </c>
    </row>
    <row r="5" spans="2:6" x14ac:dyDescent="0.25">
      <c r="B5" s="26" t="s">
        <v>47</v>
      </c>
      <c r="C5" s="27">
        <f>SUMIFS('Controle Empresas'!I:I,'Controle Empresas'!G:G,B5,'Controle Empresas'!H:H,"S")</f>
        <v>346</v>
      </c>
      <c r="D5" s="27">
        <f>COUNTIFS('Controle Empresas'!G:G,B5,'Controle Empresas'!H:H,"N")</f>
        <v>0</v>
      </c>
      <c r="E5" s="28">
        <f>COUNTIFS('Controle Empresas'!G:G,B5)</f>
        <v>23</v>
      </c>
    </row>
    <row r="6" spans="2:6" x14ac:dyDescent="0.25">
      <c r="B6" s="26" t="s">
        <v>599</v>
      </c>
      <c r="C6" s="27">
        <f>SUMIFS('Controle Empresas'!I:I,'Controle Empresas'!G:G,B6,'Controle Empresas'!H:H,"S")</f>
        <v>0</v>
      </c>
      <c r="D6" s="27">
        <f>COUNTIFS('Controle Empresas'!G:G,B6,'Controle Empresas'!H:H,"N")</f>
        <v>0</v>
      </c>
      <c r="E6" s="28">
        <f>COUNTIFS('Controle Empresas'!G:G,B6)</f>
        <v>0</v>
      </c>
    </row>
    <row r="7" spans="2:6" x14ac:dyDescent="0.25">
      <c r="B7" s="26" t="s">
        <v>45</v>
      </c>
      <c r="C7" s="27">
        <f>SUMIFS('Controle Empresas'!I:I,'Controle Empresas'!G:G,B7,'Controle Empresas'!H:H,"S")</f>
        <v>151</v>
      </c>
      <c r="D7" s="27">
        <f>COUNTIFS('Controle Empresas'!G:G,B7,'Controle Empresas'!H:H,"N")</f>
        <v>0</v>
      </c>
      <c r="E7" s="28">
        <f>COUNTIFS('Controle Empresas'!G:G,B7)</f>
        <v>108</v>
      </c>
    </row>
    <row r="8" spans="2:6" x14ac:dyDescent="0.25">
      <c r="C8" s="29"/>
      <c r="D8" s="29"/>
    </row>
    <row r="12" spans="2:6" x14ac:dyDescent="0.25">
      <c r="B12" s="30"/>
      <c r="F12" s="35"/>
    </row>
    <row r="13" spans="2:6" x14ac:dyDescent="0.25">
      <c r="B13" s="31"/>
    </row>
    <row r="14" spans="2:6" x14ac:dyDescent="0.25">
      <c r="B14" s="32"/>
    </row>
    <row r="15" spans="2:6" x14ac:dyDescent="0.25">
      <c r="B15" s="33"/>
    </row>
    <row r="16" spans="2:6" x14ac:dyDescent="0.25">
      <c r="B16" s="31"/>
    </row>
    <row r="17" spans="2:5" x14ac:dyDescent="0.25">
      <c r="B17" s="31"/>
    </row>
    <row r="18" spans="2:5" x14ac:dyDescent="0.25">
      <c r="B18" s="31"/>
    </row>
    <row r="19" spans="2:5" x14ac:dyDescent="0.25">
      <c r="B19" s="31"/>
    </row>
    <row r="20" spans="2:5" x14ac:dyDescent="0.25">
      <c r="B20" s="31"/>
    </row>
    <row r="21" spans="2:5" x14ac:dyDescent="0.25">
      <c r="B21" s="31"/>
    </row>
    <row r="22" spans="2:5" x14ac:dyDescent="0.25">
      <c r="B22" s="31"/>
    </row>
    <row r="23" spans="2:5" x14ac:dyDescent="0.25">
      <c r="B23" s="34"/>
    </row>
    <row r="24" spans="2:5" x14ac:dyDescent="0.25">
      <c r="B24" s="34"/>
    </row>
    <row r="25" spans="2:5" x14ac:dyDescent="0.25">
      <c r="B25" s="31"/>
    </row>
    <row r="26" spans="2:5" x14ac:dyDescent="0.25">
      <c r="B26" s="31"/>
    </row>
    <row r="27" spans="2:5" x14ac:dyDescent="0.25">
      <c r="B27" s="31"/>
      <c r="D27" s="176"/>
      <c r="E27" s="176"/>
    </row>
    <row r="28" spans="2:5" x14ac:dyDescent="0.25">
      <c r="B28" s="31"/>
    </row>
    <row r="29" spans="2:5" x14ac:dyDescent="0.25">
      <c r="B29" s="31"/>
    </row>
    <row r="30" spans="2:5" x14ac:dyDescent="0.25">
      <c r="B30" s="31"/>
    </row>
    <row r="31" spans="2:5" x14ac:dyDescent="0.25">
      <c r="B31" s="31"/>
    </row>
    <row r="32" spans="2:5" x14ac:dyDescent="0.25">
      <c r="B32" s="31"/>
    </row>
    <row r="33" spans="2:2" x14ac:dyDescent="0.25">
      <c r="B33" s="31"/>
    </row>
    <row r="34" spans="2:2" x14ac:dyDescent="0.25">
      <c r="B34" s="31"/>
    </row>
    <row r="35" spans="2:2" x14ac:dyDescent="0.25">
      <c r="B35" s="31"/>
    </row>
    <row r="36" spans="2:2" x14ac:dyDescent="0.25">
      <c r="B36" s="31"/>
    </row>
    <row r="37" spans="2:2" x14ac:dyDescent="0.25">
      <c r="B37" s="31"/>
    </row>
    <row r="38" spans="2:2" x14ac:dyDescent="0.25">
      <c r="B38" s="31"/>
    </row>
    <row r="39" spans="2:2" x14ac:dyDescent="0.25">
      <c r="B39" s="31"/>
    </row>
    <row r="40" spans="2:2" x14ac:dyDescent="0.25">
      <c r="B40" s="31"/>
    </row>
    <row r="41" spans="2:2" x14ac:dyDescent="0.25">
      <c r="B41" s="31"/>
    </row>
    <row r="42" spans="2:2" x14ac:dyDescent="0.25">
      <c r="B42" s="31"/>
    </row>
    <row r="43" spans="2:2" x14ac:dyDescent="0.25">
      <c r="B43" s="31"/>
    </row>
    <row r="44" spans="2:2" x14ac:dyDescent="0.25">
      <c r="B44" s="31"/>
    </row>
    <row r="45" spans="2:2" x14ac:dyDescent="0.25">
      <c r="B45" s="31"/>
    </row>
    <row r="46" spans="2:2" x14ac:dyDescent="0.25">
      <c r="B46" s="31"/>
    </row>
    <row r="47" spans="2:2" x14ac:dyDescent="0.25">
      <c r="B47" s="31"/>
    </row>
    <row r="48" spans="2:2" x14ac:dyDescent="0.25">
      <c r="B48" s="31"/>
    </row>
    <row r="49" spans="2:2" x14ac:dyDescent="0.25">
      <c r="B49" s="6"/>
    </row>
    <row r="50" spans="2:2" x14ac:dyDescent="0.25">
      <c r="B50" s="6"/>
    </row>
    <row r="51" spans="2:2" x14ac:dyDescent="0.25">
      <c r="B51" s="6"/>
    </row>
    <row r="52" spans="2:2" x14ac:dyDescent="0.25">
      <c r="B52" s="6"/>
    </row>
    <row r="53" spans="2:2" x14ac:dyDescent="0.25">
      <c r="B53" s="6"/>
    </row>
    <row r="54" spans="2:2" x14ac:dyDescent="0.25">
      <c r="B54" s="6"/>
    </row>
    <row r="55" spans="2:2" x14ac:dyDescent="0.25">
      <c r="B55" s="6"/>
    </row>
    <row r="56" spans="2:2" x14ac:dyDescent="0.25">
      <c r="B56" s="6"/>
    </row>
    <row r="57" spans="2:2" x14ac:dyDescent="0.25">
      <c r="B57" s="6"/>
    </row>
    <row r="58" spans="2:2" x14ac:dyDescent="0.25">
      <c r="B58" s="6"/>
    </row>
    <row r="59" spans="2:2" x14ac:dyDescent="0.25">
      <c r="B59" s="6"/>
    </row>
    <row r="60" spans="2:2" x14ac:dyDescent="0.25">
      <c r="B60" s="6"/>
    </row>
    <row r="61" spans="2:2" x14ac:dyDescent="0.25">
      <c r="B61" s="6"/>
    </row>
    <row r="62" spans="2:2" x14ac:dyDescent="0.25">
      <c r="B62" s="6"/>
    </row>
    <row r="63" spans="2:2" x14ac:dyDescent="0.25">
      <c r="B63" s="6"/>
    </row>
    <row r="64" spans="2:2" x14ac:dyDescent="0.25">
      <c r="B64" s="6"/>
    </row>
    <row r="65" spans="2:2" x14ac:dyDescent="0.25">
      <c r="B65" s="6"/>
    </row>
    <row r="66" spans="2:2" x14ac:dyDescent="0.25">
      <c r="B66" s="6"/>
    </row>
    <row r="67" spans="2:2" x14ac:dyDescent="0.25">
      <c r="B67" s="6"/>
    </row>
    <row r="68" spans="2:2" x14ac:dyDescent="0.25">
      <c r="B68" s="6"/>
    </row>
    <row r="69" spans="2:2" x14ac:dyDescent="0.25">
      <c r="B69" s="6"/>
    </row>
    <row r="70" spans="2:2" x14ac:dyDescent="0.25">
      <c r="B70" s="6"/>
    </row>
    <row r="71" spans="2:2" x14ac:dyDescent="0.25">
      <c r="B71" s="6"/>
    </row>
    <row r="72" spans="2:2" x14ac:dyDescent="0.25">
      <c r="B72" s="6"/>
    </row>
    <row r="73" spans="2:2" x14ac:dyDescent="0.25">
      <c r="B73" s="6"/>
    </row>
    <row r="74" spans="2:2" x14ac:dyDescent="0.25">
      <c r="B74" s="6"/>
    </row>
    <row r="75" spans="2:2" x14ac:dyDescent="0.25">
      <c r="B75" s="6"/>
    </row>
    <row r="76" spans="2:2" x14ac:dyDescent="0.25">
      <c r="B76" s="6"/>
    </row>
    <row r="77" spans="2:2" x14ac:dyDescent="0.25">
      <c r="B77" s="6"/>
    </row>
    <row r="78" spans="2:2" x14ac:dyDescent="0.25">
      <c r="B78" s="6"/>
    </row>
    <row r="79" spans="2:2" x14ac:dyDescent="0.25">
      <c r="B79" s="6"/>
    </row>
    <row r="80" spans="2:2" x14ac:dyDescent="0.25">
      <c r="B80" s="6"/>
    </row>
    <row r="81" spans="2:2" x14ac:dyDescent="0.25">
      <c r="B81" s="6"/>
    </row>
    <row r="82" spans="2:2" x14ac:dyDescent="0.25">
      <c r="B82" s="6"/>
    </row>
  </sheetData>
  <customSheetViews>
    <customSheetView guid="{7B976439-AAC9-41C3-BCF0-6D93775196CD}">
      <selection activeCell="C7" sqref="C3:C7"/>
      <pageMargins left="0.511811024" right="0.511811024" top="0.78740157499999996" bottom="0.78740157499999996" header="0.31496062000000002" footer="0.31496062000000002"/>
      <pageSetup paperSize="9" orientation="portrait" r:id="rId1"/>
    </customSheetView>
    <customSheetView guid="{DFB7C661-5C1D-4491-B5BB-D24125818F62}" showPageBreaks="1">
      <selection activeCell="C7" sqref="C3:C7"/>
      <pageMargins left="0.511811024" right="0.511811024" top="0.78740157499999996" bottom="0.78740157499999996" header="0.31496062000000002" footer="0.31496062000000002"/>
      <pageSetup paperSize="9" orientation="portrait" r:id="rId2"/>
    </customSheetView>
    <customSheetView guid="{52D4489E-F705-44D0-BDD7-2E61E89BBFE2}">
      <selection activeCell="C7" sqref="C3:C7"/>
      <pageMargins left="0.511811024" right="0.511811024" top="0.78740157499999996" bottom="0.78740157499999996" header="0.31496062000000002" footer="0.31496062000000002"/>
      <pageSetup paperSize="9" orientation="portrait" r:id="rId3"/>
    </customSheetView>
    <customSheetView guid="{590CEBDA-E7AE-4D8D-8613-56208662CCA9}">
      <selection activeCell="C7" sqref="C3:C7"/>
      <pageMargins left="0.511811024" right="0.511811024" top="0.78740157499999996" bottom="0.78740157499999996" header="0.31496062000000002" footer="0.31496062000000002"/>
      <pageSetup paperSize="9" orientation="portrait" r:id="rId4"/>
    </customSheetView>
    <customSheetView guid="{3BCABC4F-4072-4ED9-90CC-E9BE96773387}" showPageBreaks="1">
      <selection activeCell="C7" sqref="C3:C7"/>
      <pageMargins left="0.511811024" right="0.511811024" top="0.78740157499999996" bottom="0.78740157499999996" header="0.31496062000000002" footer="0.31496062000000002"/>
      <pageSetup paperSize="9" orientation="portrait" r:id="rId5"/>
    </customSheetView>
    <customSheetView guid="{44627F90-111A-4938-A3EC-3F862F83F7D7}" showPageBreaks="1">
      <selection activeCell="C7" sqref="C3:C7"/>
      <pageMargins left="0.511811024" right="0.511811024" top="0.78740157499999996" bottom="0.78740157499999996" header="0.31496062000000002" footer="0.31496062000000002"/>
      <pageSetup paperSize="9" orientation="portrait" r:id="rId6"/>
    </customSheetView>
    <customSheetView guid="{4AD023DC-4B9E-473F-AB98-4A1747DCD454}">
      <selection activeCell="C7" sqref="C3:C7"/>
      <pageMargins left="0.511811024" right="0.511811024" top="0.78740157499999996" bottom="0.78740157499999996" header="0.31496062000000002" footer="0.31496062000000002"/>
      <pageSetup paperSize="9" orientation="portrait" r:id="rId7"/>
    </customSheetView>
    <customSheetView guid="{EA2840B9-4395-4F38-9C2E-B3C8A78F8E87}">
      <selection activeCell="C7" sqref="C3:C7"/>
      <pageMargins left="0.511811024" right="0.511811024" top="0.78740157499999996" bottom="0.78740157499999996" header="0.31496062000000002" footer="0.31496062000000002"/>
      <pageSetup paperSize="9" orientation="portrait" r:id="rId8"/>
    </customSheetView>
    <customSheetView guid="{DAEEB123-9C5D-4BF0-8F09-E7DEBC62D826}" showPageBreaks="1">
      <selection activeCell="C7" sqref="C3:C7"/>
      <pageMargins left="0.511811024" right="0.511811024" top="0.78740157499999996" bottom="0.78740157499999996" header="0.31496062000000002" footer="0.31496062000000002"/>
      <pageSetup paperSize="9" orientation="portrait" r:id="rId9"/>
    </customSheetView>
  </customSheetViews>
  <mergeCells count="1">
    <mergeCell ref="B1:E1"/>
  </mergeCells>
  <pageMargins left="0.511811024" right="0.511811024" top="0.78740157499999996" bottom="0.78740157499999996" header="0.31496062000000002" footer="0.31496062000000002"/>
  <pageSetup paperSize="9"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V98"/>
  <sheetViews>
    <sheetView workbookViewId="0">
      <selection activeCell="D67" sqref="D67"/>
    </sheetView>
  </sheetViews>
  <sheetFormatPr defaultRowHeight="15" x14ac:dyDescent="0.25"/>
  <sheetData>
    <row r="3" spans="1:3" x14ac:dyDescent="0.25">
      <c r="A3" s="93">
        <v>5</v>
      </c>
      <c r="B3" s="90" t="s">
        <v>669</v>
      </c>
      <c r="C3" t="str">
        <f t="shared" ref="C3:C34" si="0">CONCATENATE(A3,B3)</f>
        <v>5,</v>
      </c>
    </row>
    <row r="4" spans="1:3" x14ac:dyDescent="0.25">
      <c r="A4" s="93">
        <v>6</v>
      </c>
      <c r="B4" s="90" t="s">
        <v>669</v>
      </c>
      <c r="C4" t="str">
        <f t="shared" si="0"/>
        <v>6,</v>
      </c>
    </row>
    <row r="5" spans="1:3" x14ac:dyDescent="0.25">
      <c r="A5" s="93">
        <v>8</v>
      </c>
      <c r="B5" s="90" t="s">
        <v>669</v>
      </c>
      <c r="C5" t="str">
        <f t="shared" si="0"/>
        <v>8,</v>
      </c>
    </row>
    <row r="6" spans="1:3" x14ac:dyDescent="0.25">
      <c r="A6" s="93">
        <v>22</v>
      </c>
      <c r="B6" s="90" t="s">
        <v>669</v>
      </c>
      <c r="C6" t="str">
        <f t="shared" si="0"/>
        <v>22,</v>
      </c>
    </row>
    <row r="7" spans="1:3" x14ac:dyDescent="0.25">
      <c r="A7" s="94">
        <v>31</v>
      </c>
      <c r="B7" s="90" t="s">
        <v>669</v>
      </c>
      <c r="C7" t="str">
        <f t="shared" si="0"/>
        <v>31,</v>
      </c>
    </row>
    <row r="8" spans="1:3" x14ac:dyDescent="0.25">
      <c r="A8" s="94">
        <v>32</v>
      </c>
      <c r="B8" s="91" t="s">
        <v>669</v>
      </c>
      <c r="C8" t="str">
        <f t="shared" si="0"/>
        <v>32,</v>
      </c>
    </row>
    <row r="9" spans="1:3" x14ac:dyDescent="0.25">
      <c r="A9" s="94">
        <v>36</v>
      </c>
      <c r="B9" s="91" t="s">
        <v>669</v>
      </c>
      <c r="C9" t="str">
        <f t="shared" si="0"/>
        <v>36,</v>
      </c>
    </row>
    <row r="10" spans="1:3" x14ac:dyDescent="0.25">
      <c r="A10" s="94">
        <v>46</v>
      </c>
      <c r="B10" s="91" t="s">
        <v>669</v>
      </c>
      <c r="C10" t="str">
        <f t="shared" si="0"/>
        <v>46,</v>
      </c>
    </row>
    <row r="11" spans="1:3" x14ac:dyDescent="0.25">
      <c r="A11" s="94">
        <v>60</v>
      </c>
      <c r="B11" s="90" t="s">
        <v>669</v>
      </c>
      <c r="C11" t="str">
        <f t="shared" si="0"/>
        <v>60,</v>
      </c>
    </row>
    <row r="12" spans="1:3" x14ac:dyDescent="0.25">
      <c r="A12" s="94">
        <v>61</v>
      </c>
      <c r="B12" s="90" t="s">
        <v>669</v>
      </c>
      <c r="C12" t="str">
        <f t="shared" si="0"/>
        <v>61,</v>
      </c>
    </row>
    <row r="13" spans="1:3" x14ac:dyDescent="0.25">
      <c r="A13" s="94">
        <v>67</v>
      </c>
      <c r="B13" s="91" t="s">
        <v>669</v>
      </c>
      <c r="C13" t="str">
        <f t="shared" si="0"/>
        <v>67,</v>
      </c>
    </row>
    <row r="14" spans="1:3" x14ac:dyDescent="0.25">
      <c r="A14" s="94">
        <v>107</v>
      </c>
      <c r="B14" s="90" t="s">
        <v>669</v>
      </c>
      <c r="C14" t="str">
        <f t="shared" si="0"/>
        <v>107,</v>
      </c>
    </row>
    <row r="15" spans="1:3" x14ac:dyDescent="0.25">
      <c r="A15" s="94">
        <v>181</v>
      </c>
      <c r="B15" s="90" t="s">
        <v>669</v>
      </c>
      <c r="C15" t="str">
        <f t="shared" si="0"/>
        <v>181,</v>
      </c>
    </row>
    <row r="16" spans="1:3" x14ac:dyDescent="0.25">
      <c r="A16" s="94">
        <v>192</v>
      </c>
      <c r="B16" s="90" t="s">
        <v>669</v>
      </c>
      <c r="C16" t="str">
        <f t="shared" si="0"/>
        <v>192,</v>
      </c>
    </row>
    <row r="17" spans="1:3" x14ac:dyDescent="0.25">
      <c r="A17" s="94">
        <v>231</v>
      </c>
      <c r="B17" s="90" t="s">
        <v>669</v>
      </c>
      <c r="C17" t="str">
        <f t="shared" si="0"/>
        <v>231,</v>
      </c>
    </row>
    <row r="18" spans="1:3" x14ac:dyDescent="0.25">
      <c r="A18" s="94">
        <v>234</v>
      </c>
      <c r="B18" s="90" t="s">
        <v>669</v>
      </c>
      <c r="C18" t="str">
        <f t="shared" si="0"/>
        <v>234,</v>
      </c>
    </row>
    <row r="19" spans="1:3" x14ac:dyDescent="0.25">
      <c r="A19" s="94">
        <v>269</v>
      </c>
      <c r="B19" s="90" t="s">
        <v>669</v>
      </c>
      <c r="C19" t="str">
        <f t="shared" si="0"/>
        <v>269,</v>
      </c>
    </row>
    <row r="20" spans="1:3" x14ac:dyDescent="0.25">
      <c r="A20" s="94">
        <v>296</v>
      </c>
      <c r="B20" s="90" t="s">
        <v>669</v>
      </c>
      <c r="C20" t="str">
        <f t="shared" si="0"/>
        <v>296,</v>
      </c>
    </row>
    <row r="21" spans="1:3" x14ac:dyDescent="0.25">
      <c r="A21" s="94">
        <v>311</v>
      </c>
      <c r="B21" s="90" t="s">
        <v>669</v>
      </c>
      <c r="C21" t="str">
        <f t="shared" si="0"/>
        <v>311,</v>
      </c>
    </row>
    <row r="22" spans="1:3" x14ac:dyDescent="0.25">
      <c r="A22" s="94">
        <v>312</v>
      </c>
      <c r="B22" s="90" t="s">
        <v>669</v>
      </c>
      <c r="C22" t="str">
        <f t="shared" si="0"/>
        <v>312,</v>
      </c>
    </row>
    <row r="23" spans="1:3" x14ac:dyDescent="0.25">
      <c r="A23" s="94">
        <v>315</v>
      </c>
      <c r="B23" s="90" t="s">
        <v>669</v>
      </c>
      <c r="C23" t="str">
        <f t="shared" si="0"/>
        <v>315,</v>
      </c>
    </row>
    <row r="24" spans="1:3" x14ac:dyDescent="0.25">
      <c r="A24" s="94">
        <v>316</v>
      </c>
      <c r="B24" s="90" t="s">
        <v>669</v>
      </c>
      <c r="C24" t="str">
        <f t="shared" si="0"/>
        <v>316,</v>
      </c>
    </row>
    <row r="25" spans="1:3" s="30" customFormat="1" x14ac:dyDescent="0.25">
      <c r="A25" s="94">
        <v>323</v>
      </c>
      <c r="B25" s="90" t="s">
        <v>669</v>
      </c>
      <c r="C25" s="30" t="str">
        <f t="shared" si="0"/>
        <v>323,</v>
      </c>
    </row>
    <row r="26" spans="1:3" x14ac:dyDescent="0.25">
      <c r="A26" s="94">
        <v>365</v>
      </c>
      <c r="B26" s="90" t="s">
        <v>669</v>
      </c>
      <c r="C26" t="str">
        <f t="shared" si="0"/>
        <v>365,</v>
      </c>
    </row>
    <row r="27" spans="1:3" x14ac:dyDescent="0.25">
      <c r="A27" s="93">
        <v>380</v>
      </c>
      <c r="B27" s="91" t="s">
        <v>669</v>
      </c>
      <c r="C27" t="str">
        <f t="shared" si="0"/>
        <v>380,</v>
      </c>
    </row>
    <row r="28" spans="1:3" x14ac:dyDescent="0.25">
      <c r="A28" s="93">
        <v>404</v>
      </c>
      <c r="B28" s="90" t="s">
        <v>669</v>
      </c>
      <c r="C28" t="str">
        <f t="shared" si="0"/>
        <v>404,</v>
      </c>
    </row>
    <row r="29" spans="1:3" x14ac:dyDescent="0.25">
      <c r="A29" s="93">
        <v>406</v>
      </c>
      <c r="B29" s="90" t="s">
        <v>669</v>
      </c>
      <c r="C29" t="str">
        <f t="shared" si="0"/>
        <v>406,</v>
      </c>
    </row>
    <row r="30" spans="1:3" x14ac:dyDescent="0.25">
      <c r="A30" s="93">
        <v>408</v>
      </c>
      <c r="B30" s="90" t="s">
        <v>669</v>
      </c>
      <c r="C30" t="str">
        <f t="shared" si="0"/>
        <v>408,</v>
      </c>
    </row>
    <row r="31" spans="1:3" x14ac:dyDescent="0.25">
      <c r="A31" s="93">
        <v>410</v>
      </c>
      <c r="B31" s="90" t="s">
        <v>669</v>
      </c>
      <c r="C31" t="str">
        <f t="shared" si="0"/>
        <v>410,</v>
      </c>
    </row>
    <row r="32" spans="1:3" x14ac:dyDescent="0.25">
      <c r="A32" s="93">
        <v>411</v>
      </c>
      <c r="B32" s="91" t="s">
        <v>669</v>
      </c>
      <c r="C32" t="str">
        <f t="shared" si="0"/>
        <v>411,</v>
      </c>
    </row>
    <row r="33" spans="1:3" x14ac:dyDescent="0.25">
      <c r="A33" s="93">
        <v>413</v>
      </c>
      <c r="B33" s="91" t="s">
        <v>669</v>
      </c>
      <c r="C33" t="str">
        <f t="shared" si="0"/>
        <v>413,</v>
      </c>
    </row>
    <row r="34" spans="1:3" x14ac:dyDescent="0.25">
      <c r="A34" s="93">
        <v>415</v>
      </c>
      <c r="B34" s="90" t="s">
        <v>669</v>
      </c>
      <c r="C34" t="str">
        <f t="shared" si="0"/>
        <v>415,</v>
      </c>
    </row>
    <row r="35" spans="1:3" x14ac:dyDescent="0.25">
      <c r="A35" s="93">
        <v>416</v>
      </c>
      <c r="B35" s="91" t="s">
        <v>669</v>
      </c>
      <c r="C35" t="str">
        <f t="shared" ref="C35:C66" si="1">CONCATENATE(A35,B35)</f>
        <v>416,</v>
      </c>
    </row>
    <row r="36" spans="1:3" x14ac:dyDescent="0.25">
      <c r="A36" s="93">
        <v>417</v>
      </c>
      <c r="B36" s="91" t="s">
        <v>669</v>
      </c>
      <c r="C36" t="str">
        <f t="shared" si="1"/>
        <v>417,</v>
      </c>
    </row>
    <row r="37" spans="1:3" x14ac:dyDescent="0.25">
      <c r="A37" s="93">
        <v>419</v>
      </c>
      <c r="B37" s="91" t="s">
        <v>669</v>
      </c>
      <c r="C37" t="str">
        <f t="shared" si="1"/>
        <v>419,</v>
      </c>
    </row>
    <row r="38" spans="1:3" x14ac:dyDescent="0.25">
      <c r="A38" s="93">
        <v>453</v>
      </c>
      <c r="B38" s="91" t="s">
        <v>669</v>
      </c>
      <c r="C38" t="str">
        <f t="shared" si="1"/>
        <v>453,</v>
      </c>
    </row>
    <row r="39" spans="1:3" x14ac:dyDescent="0.25">
      <c r="A39" s="93">
        <v>454</v>
      </c>
      <c r="B39" s="102" t="s">
        <v>669</v>
      </c>
      <c r="C39" t="str">
        <f t="shared" si="1"/>
        <v>454,</v>
      </c>
    </row>
    <row r="40" spans="1:3" x14ac:dyDescent="0.25">
      <c r="A40" s="95">
        <v>476</v>
      </c>
      <c r="B40" s="102" t="s">
        <v>669</v>
      </c>
      <c r="C40" t="str">
        <f t="shared" si="1"/>
        <v>476,</v>
      </c>
    </row>
    <row r="41" spans="1:3" x14ac:dyDescent="0.25">
      <c r="A41" s="95">
        <v>481</v>
      </c>
      <c r="B41" s="102" t="s">
        <v>669</v>
      </c>
      <c r="C41" t="str">
        <f t="shared" si="1"/>
        <v>481,</v>
      </c>
    </row>
    <row r="42" spans="1:3" x14ac:dyDescent="0.25">
      <c r="A42" s="95">
        <v>499</v>
      </c>
      <c r="B42" s="102" t="s">
        <v>669</v>
      </c>
      <c r="C42" t="str">
        <f t="shared" si="1"/>
        <v>499,</v>
      </c>
    </row>
    <row r="43" spans="1:3" x14ac:dyDescent="0.25">
      <c r="A43" s="95">
        <v>501</v>
      </c>
      <c r="B43" s="102" t="s">
        <v>669</v>
      </c>
      <c r="C43" t="str">
        <f t="shared" si="1"/>
        <v>501,</v>
      </c>
    </row>
    <row r="44" spans="1:3" x14ac:dyDescent="0.25">
      <c r="A44" s="95">
        <v>529</v>
      </c>
      <c r="B44" s="102" t="s">
        <v>669</v>
      </c>
      <c r="C44" t="str">
        <f t="shared" si="1"/>
        <v>529,</v>
      </c>
    </row>
    <row r="45" spans="1:3" x14ac:dyDescent="0.25">
      <c r="A45" s="96">
        <v>554</v>
      </c>
      <c r="B45" s="102" t="s">
        <v>669</v>
      </c>
      <c r="C45" t="str">
        <f t="shared" si="1"/>
        <v>554,</v>
      </c>
    </row>
    <row r="46" spans="1:3" x14ac:dyDescent="0.25">
      <c r="A46" s="93">
        <v>586</v>
      </c>
      <c r="B46" s="90" t="s">
        <v>669</v>
      </c>
      <c r="C46" t="str">
        <f t="shared" si="1"/>
        <v>586,</v>
      </c>
    </row>
    <row r="47" spans="1:3" x14ac:dyDescent="0.25">
      <c r="A47" s="93">
        <v>590</v>
      </c>
      <c r="B47" s="90" t="s">
        <v>669</v>
      </c>
      <c r="C47" t="str">
        <f t="shared" si="1"/>
        <v>590,</v>
      </c>
    </row>
    <row r="48" spans="1:3" x14ac:dyDescent="0.25">
      <c r="A48" s="93">
        <v>593</v>
      </c>
      <c r="B48" s="90" t="s">
        <v>669</v>
      </c>
      <c r="C48" t="str">
        <f t="shared" si="1"/>
        <v>593,</v>
      </c>
    </row>
    <row r="49" spans="1:3" x14ac:dyDescent="0.25">
      <c r="A49" s="93">
        <v>596</v>
      </c>
      <c r="B49" s="103" t="s">
        <v>669</v>
      </c>
      <c r="C49" t="str">
        <f t="shared" si="1"/>
        <v>596,</v>
      </c>
    </row>
    <row r="50" spans="1:3" x14ac:dyDescent="0.25">
      <c r="A50" s="96">
        <v>604</v>
      </c>
      <c r="B50" s="103" t="s">
        <v>669</v>
      </c>
      <c r="C50" t="str">
        <f t="shared" si="1"/>
        <v>604,</v>
      </c>
    </row>
    <row r="51" spans="1:3" x14ac:dyDescent="0.25">
      <c r="A51" s="93">
        <v>670</v>
      </c>
      <c r="B51" s="103" t="s">
        <v>669</v>
      </c>
      <c r="C51" t="str">
        <f t="shared" si="1"/>
        <v>670,</v>
      </c>
    </row>
    <row r="52" spans="1:3" x14ac:dyDescent="0.25">
      <c r="A52" s="93">
        <v>674</v>
      </c>
      <c r="B52" s="103" t="s">
        <v>669</v>
      </c>
      <c r="C52" t="str">
        <f t="shared" si="1"/>
        <v>674,</v>
      </c>
    </row>
    <row r="53" spans="1:3" x14ac:dyDescent="0.25">
      <c r="A53" s="97">
        <v>680</v>
      </c>
      <c r="B53" s="103" t="s">
        <v>669</v>
      </c>
      <c r="C53" t="str">
        <f t="shared" si="1"/>
        <v>680,</v>
      </c>
    </row>
    <row r="54" spans="1:3" x14ac:dyDescent="0.25">
      <c r="A54" s="97">
        <v>681</v>
      </c>
      <c r="B54" s="103" t="s">
        <v>669</v>
      </c>
      <c r="C54" t="str">
        <f t="shared" si="1"/>
        <v>681,</v>
      </c>
    </row>
    <row r="55" spans="1:3" x14ac:dyDescent="0.25">
      <c r="A55" s="97">
        <v>682</v>
      </c>
      <c r="B55" s="103" t="s">
        <v>669</v>
      </c>
      <c r="C55" t="str">
        <f t="shared" si="1"/>
        <v>682,</v>
      </c>
    </row>
    <row r="56" spans="1:3" x14ac:dyDescent="0.25">
      <c r="A56" s="98">
        <v>683</v>
      </c>
      <c r="B56" s="103" t="s">
        <v>669</v>
      </c>
      <c r="C56" t="str">
        <f t="shared" si="1"/>
        <v>683,</v>
      </c>
    </row>
    <row r="57" spans="1:3" x14ac:dyDescent="0.25">
      <c r="A57" s="97">
        <v>689</v>
      </c>
      <c r="B57" s="90" t="s">
        <v>669</v>
      </c>
      <c r="C57" t="str">
        <f t="shared" si="1"/>
        <v>689,</v>
      </c>
    </row>
    <row r="58" spans="1:3" x14ac:dyDescent="0.25">
      <c r="A58" s="97">
        <v>691</v>
      </c>
      <c r="B58" s="103" t="s">
        <v>669</v>
      </c>
      <c r="C58" t="str">
        <f t="shared" si="1"/>
        <v>691,</v>
      </c>
    </row>
    <row r="59" spans="1:3" x14ac:dyDescent="0.25">
      <c r="A59" s="97">
        <v>695</v>
      </c>
      <c r="B59" s="103" t="s">
        <v>669</v>
      </c>
      <c r="C59" t="str">
        <f t="shared" si="1"/>
        <v>695,</v>
      </c>
    </row>
    <row r="60" spans="1:3" x14ac:dyDescent="0.25">
      <c r="A60" s="97">
        <v>699</v>
      </c>
      <c r="B60" s="103" t="s">
        <v>669</v>
      </c>
      <c r="C60" t="str">
        <f t="shared" si="1"/>
        <v>699,</v>
      </c>
    </row>
    <row r="61" spans="1:3" x14ac:dyDescent="0.25">
      <c r="A61" s="93">
        <v>702</v>
      </c>
      <c r="B61" s="103" t="s">
        <v>669</v>
      </c>
      <c r="C61" t="str">
        <f t="shared" si="1"/>
        <v>702,</v>
      </c>
    </row>
    <row r="62" spans="1:3" x14ac:dyDescent="0.25">
      <c r="A62" s="97">
        <v>705</v>
      </c>
      <c r="B62" s="103" t="s">
        <v>669</v>
      </c>
      <c r="C62" t="str">
        <f t="shared" si="1"/>
        <v>705,</v>
      </c>
    </row>
    <row r="63" spans="1:3" x14ac:dyDescent="0.25">
      <c r="A63" s="97">
        <v>707</v>
      </c>
      <c r="B63" s="103" t="s">
        <v>669</v>
      </c>
      <c r="C63" t="str">
        <f t="shared" si="1"/>
        <v>707,</v>
      </c>
    </row>
    <row r="64" spans="1:3" x14ac:dyDescent="0.25">
      <c r="A64" s="99">
        <v>709</v>
      </c>
      <c r="B64" s="103" t="s">
        <v>669</v>
      </c>
      <c r="C64" t="str">
        <f t="shared" si="1"/>
        <v>709,</v>
      </c>
    </row>
    <row r="65" spans="1:100" x14ac:dyDescent="0.25">
      <c r="A65" s="93">
        <v>759</v>
      </c>
      <c r="B65" s="90" t="s">
        <v>669</v>
      </c>
      <c r="C65" t="str">
        <f t="shared" si="1"/>
        <v>759,</v>
      </c>
    </row>
    <row r="66" spans="1:100" x14ac:dyDescent="0.25">
      <c r="A66" s="97">
        <v>762</v>
      </c>
      <c r="B66" s="90" t="s">
        <v>669</v>
      </c>
      <c r="C66" t="str">
        <f t="shared" si="1"/>
        <v>762,</v>
      </c>
    </row>
    <row r="67" spans="1:100" x14ac:dyDescent="0.25">
      <c r="A67" s="93">
        <v>768</v>
      </c>
      <c r="B67" s="90" t="s">
        <v>669</v>
      </c>
      <c r="C67" t="str">
        <f t="shared" ref="C67:C98" si="2">CONCATENATE(A67,B67)</f>
        <v>768,</v>
      </c>
    </row>
    <row r="68" spans="1:100" x14ac:dyDescent="0.25">
      <c r="A68" s="93">
        <v>770</v>
      </c>
      <c r="B68" s="90" t="s">
        <v>669</v>
      </c>
      <c r="C68" t="str">
        <f t="shared" si="2"/>
        <v>770,</v>
      </c>
    </row>
    <row r="69" spans="1:100" x14ac:dyDescent="0.25">
      <c r="A69" s="93">
        <v>776</v>
      </c>
      <c r="B69" s="90" t="s">
        <v>669</v>
      </c>
      <c r="C69" t="str">
        <f t="shared" si="2"/>
        <v>776,</v>
      </c>
    </row>
    <row r="70" spans="1:100" x14ac:dyDescent="0.25">
      <c r="A70" s="96">
        <v>786</v>
      </c>
      <c r="B70" s="90" t="s">
        <v>669</v>
      </c>
      <c r="C70" t="str">
        <f t="shared" si="2"/>
        <v>786,</v>
      </c>
      <c r="E70" t="s">
        <v>670</v>
      </c>
      <c r="F70" t="s">
        <v>671</v>
      </c>
      <c r="G70" t="s">
        <v>672</v>
      </c>
      <c r="H70" t="s">
        <v>673</v>
      </c>
      <c r="I70" t="s">
        <v>674</v>
      </c>
      <c r="J70" t="s">
        <v>675</v>
      </c>
      <c r="K70" t="s">
        <v>676</v>
      </c>
      <c r="L70" t="s">
        <v>677</v>
      </c>
      <c r="M70" t="s">
        <v>678</v>
      </c>
      <c r="N70" t="s">
        <v>679</v>
      </c>
      <c r="O70" t="s">
        <v>680</v>
      </c>
      <c r="P70" t="s">
        <v>681</v>
      </c>
      <c r="Q70" t="s">
        <v>682</v>
      </c>
      <c r="R70" t="s">
        <v>683</v>
      </c>
      <c r="S70" t="s">
        <v>684</v>
      </c>
      <c r="T70" t="s">
        <v>685</v>
      </c>
      <c r="U70" t="s">
        <v>686</v>
      </c>
      <c r="V70" t="s">
        <v>687</v>
      </c>
      <c r="W70" t="s">
        <v>688</v>
      </c>
      <c r="X70" t="s">
        <v>689</v>
      </c>
      <c r="Y70" t="s">
        <v>690</v>
      </c>
      <c r="Z70" t="s">
        <v>691</v>
      </c>
      <c r="AA70" t="s">
        <v>692</v>
      </c>
      <c r="AB70" t="s">
        <v>693</v>
      </c>
      <c r="AC70" t="s">
        <v>694</v>
      </c>
      <c r="AD70" t="s">
        <v>695</v>
      </c>
      <c r="AE70" t="s">
        <v>696</v>
      </c>
      <c r="AF70" t="s">
        <v>697</v>
      </c>
      <c r="AG70" t="s">
        <v>698</v>
      </c>
      <c r="AH70" t="s">
        <v>699</v>
      </c>
      <c r="AI70" t="s">
        <v>700</v>
      </c>
      <c r="AJ70" t="s">
        <v>701</v>
      </c>
      <c r="AK70" t="s">
        <v>702</v>
      </c>
      <c r="AL70" t="s">
        <v>703</v>
      </c>
      <c r="AM70" t="s">
        <v>704</v>
      </c>
      <c r="AN70" t="s">
        <v>705</v>
      </c>
      <c r="AO70" t="s">
        <v>706</v>
      </c>
      <c r="AP70" t="s">
        <v>707</v>
      </c>
      <c r="AQ70" t="s">
        <v>708</v>
      </c>
      <c r="AR70" t="s">
        <v>709</v>
      </c>
      <c r="AS70" t="s">
        <v>710</v>
      </c>
      <c r="AT70" t="s">
        <v>711</v>
      </c>
      <c r="AU70" t="s">
        <v>712</v>
      </c>
      <c r="AV70" t="s">
        <v>713</v>
      </c>
      <c r="AW70" t="s">
        <v>714</v>
      </c>
      <c r="AX70" t="s">
        <v>715</v>
      </c>
      <c r="AY70" t="s">
        <v>716</v>
      </c>
      <c r="AZ70" t="s">
        <v>717</v>
      </c>
      <c r="BA70" t="s">
        <v>718</v>
      </c>
      <c r="BB70" t="s">
        <v>719</v>
      </c>
      <c r="BC70" t="s">
        <v>720</v>
      </c>
      <c r="BD70" t="s">
        <v>721</v>
      </c>
      <c r="BE70" t="s">
        <v>722</v>
      </c>
      <c r="BF70" t="s">
        <v>723</v>
      </c>
      <c r="BG70" t="s">
        <v>724</v>
      </c>
      <c r="BH70" t="s">
        <v>725</v>
      </c>
      <c r="BI70" t="s">
        <v>726</v>
      </c>
      <c r="BJ70" t="s">
        <v>727</v>
      </c>
      <c r="BK70" t="s">
        <v>728</v>
      </c>
      <c r="BL70" t="s">
        <v>729</v>
      </c>
      <c r="BM70" t="s">
        <v>730</v>
      </c>
      <c r="BN70" t="s">
        <v>731</v>
      </c>
      <c r="BO70" t="s">
        <v>732</v>
      </c>
      <c r="BP70" t="s">
        <v>733</v>
      </c>
      <c r="BQ70" t="s">
        <v>734</v>
      </c>
      <c r="BR70" t="s">
        <v>735</v>
      </c>
      <c r="BS70" t="s">
        <v>736</v>
      </c>
      <c r="BT70" t="s">
        <v>737</v>
      </c>
      <c r="BU70" t="s">
        <v>738</v>
      </c>
      <c r="BV70" t="s">
        <v>739</v>
      </c>
      <c r="BW70" t="s">
        <v>740</v>
      </c>
      <c r="BX70" t="s">
        <v>741</v>
      </c>
      <c r="BY70" t="s">
        <v>742</v>
      </c>
      <c r="BZ70" t="s">
        <v>743</v>
      </c>
      <c r="CA70" t="s">
        <v>744</v>
      </c>
      <c r="CB70" t="s">
        <v>745</v>
      </c>
      <c r="CC70" t="s">
        <v>746</v>
      </c>
      <c r="CD70" t="s">
        <v>747</v>
      </c>
      <c r="CE70" t="s">
        <v>748</v>
      </c>
      <c r="CF70" t="s">
        <v>749</v>
      </c>
      <c r="CG70" t="s">
        <v>750</v>
      </c>
      <c r="CH70" t="s">
        <v>751</v>
      </c>
      <c r="CI70" t="s">
        <v>752</v>
      </c>
      <c r="CJ70" t="s">
        <v>753</v>
      </c>
      <c r="CK70" t="s">
        <v>754</v>
      </c>
      <c r="CL70" t="s">
        <v>755</v>
      </c>
      <c r="CM70" t="s">
        <v>756</v>
      </c>
      <c r="CN70" t="s">
        <v>757</v>
      </c>
      <c r="CO70" t="s">
        <v>758</v>
      </c>
      <c r="CP70" t="s">
        <v>759</v>
      </c>
      <c r="CQ70" t="s">
        <v>760</v>
      </c>
      <c r="CR70" t="s">
        <v>761</v>
      </c>
      <c r="CS70" t="s">
        <v>762</v>
      </c>
      <c r="CT70" t="s">
        <v>763</v>
      </c>
      <c r="CU70" t="s">
        <v>764</v>
      </c>
      <c r="CV70" t="s">
        <v>765</v>
      </c>
    </row>
    <row r="71" spans="1:100" x14ac:dyDescent="0.25">
      <c r="A71" s="100">
        <v>787</v>
      </c>
      <c r="B71" s="90" t="s">
        <v>669</v>
      </c>
      <c r="C71" t="str">
        <f t="shared" si="2"/>
        <v>787,</v>
      </c>
    </row>
    <row r="72" spans="1:100" x14ac:dyDescent="0.25">
      <c r="A72" s="99">
        <v>796</v>
      </c>
      <c r="B72" s="90" t="s">
        <v>669</v>
      </c>
      <c r="C72" t="str">
        <f t="shared" si="2"/>
        <v>796,</v>
      </c>
    </row>
    <row r="73" spans="1:100" x14ac:dyDescent="0.25">
      <c r="A73" s="97">
        <v>808</v>
      </c>
      <c r="B73" s="90" t="s">
        <v>669</v>
      </c>
      <c r="C73" t="str">
        <f t="shared" si="2"/>
        <v>808,</v>
      </c>
    </row>
    <row r="74" spans="1:100" x14ac:dyDescent="0.25">
      <c r="A74" s="99">
        <v>818</v>
      </c>
      <c r="B74" s="90" t="s">
        <v>669</v>
      </c>
      <c r="C74" t="str">
        <f t="shared" si="2"/>
        <v>818,</v>
      </c>
    </row>
    <row r="75" spans="1:100" x14ac:dyDescent="0.25">
      <c r="A75" s="96">
        <v>828</v>
      </c>
      <c r="B75" s="90" t="s">
        <v>669</v>
      </c>
      <c r="C75" t="str">
        <f t="shared" si="2"/>
        <v>828,</v>
      </c>
    </row>
    <row r="76" spans="1:100" x14ac:dyDescent="0.25">
      <c r="A76" s="96">
        <v>835</v>
      </c>
      <c r="B76" s="90" t="s">
        <v>669</v>
      </c>
      <c r="C76" t="str">
        <f t="shared" si="2"/>
        <v>835,</v>
      </c>
    </row>
    <row r="77" spans="1:100" x14ac:dyDescent="0.25">
      <c r="A77" s="96">
        <v>838</v>
      </c>
      <c r="B77" s="90" t="s">
        <v>669</v>
      </c>
      <c r="C77" t="str">
        <f t="shared" si="2"/>
        <v>838,</v>
      </c>
    </row>
    <row r="78" spans="1:100" x14ac:dyDescent="0.25">
      <c r="A78" s="96">
        <v>840</v>
      </c>
      <c r="B78" s="90" t="s">
        <v>669</v>
      </c>
      <c r="C78" t="str">
        <f t="shared" si="2"/>
        <v>840,</v>
      </c>
    </row>
    <row r="79" spans="1:100" x14ac:dyDescent="0.25">
      <c r="A79" s="96">
        <v>841</v>
      </c>
      <c r="B79" s="90" t="s">
        <v>669</v>
      </c>
      <c r="C79" t="str">
        <f t="shared" si="2"/>
        <v>841,</v>
      </c>
    </row>
    <row r="80" spans="1:100" x14ac:dyDescent="0.25">
      <c r="A80" s="96">
        <v>844</v>
      </c>
      <c r="B80" s="90" t="s">
        <v>669</v>
      </c>
      <c r="C80" t="str">
        <f t="shared" si="2"/>
        <v>844,</v>
      </c>
    </row>
    <row r="81" spans="1:3" x14ac:dyDescent="0.25">
      <c r="A81" s="96">
        <v>847</v>
      </c>
      <c r="B81" s="90" t="s">
        <v>669</v>
      </c>
      <c r="C81" t="str">
        <f t="shared" si="2"/>
        <v>847,</v>
      </c>
    </row>
    <row r="82" spans="1:3" x14ac:dyDescent="0.25">
      <c r="A82" s="101">
        <v>853</v>
      </c>
      <c r="B82" s="90" t="s">
        <v>669</v>
      </c>
      <c r="C82" t="str">
        <f t="shared" si="2"/>
        <v>853,</v>
      </c>
    </row>
    <row r="83" spans="1:3" x14ac:dyDescent="0.25">
      <c r="A83" s="96">
        <v>857</v>
      </c>
      <c r="B83" s="90" t="s">
        <v>669</v>
      </c>
      <c r="C83" t="str">
        <f t="shared" si="2"/>
        <v>857,</v>
      </c>
    </row>
    <row r="84" spans="1:3" x14ac:dyDescent="0.25">
      <c r="A84" s="96">
        <v>870</v>
      </c>
      <c r="B84" s="103" t="s">
        <v>669</v>
      </c>
      <c r="C84" t="str">
        <f t="shared" si="2"/>
        <v>870,</v>
      </c>
    </row>
    <row r="85" spans="1:3" x14ac:dyDescent="0.25">
      <c r="A85" s="96">
        <v>871</v>
      </c>
      <c r="B85" s="103" t="s">
        <v>669</v>
      </c>
      <c r="C85" t="str">
        <f t="shared" si="2"/>
        <v>871,</v>
      </c>
    </row>
    <row r="86" spans="1:3" x14ac:dyDescent="0.25">
      <c r="A86" s="96">
        <v>873</v>
      </c>
      <c r="B86" s="103" t="s">
        <v>669</v>
      </c>
      <c r="C86" t="str">
        <f t="shared" si="2"/>
        <v>873,</v>
      </c>
    </row>
    <row r="87" spans="1:3" x14ac:dyDescent="0.25">
      <c r="A87" s="96">
        <v>874</v>
      </c>
      <c r="B87" s="103" t="s">
        <v>669</v>
      </c>
      <c r="C87" t="str">
        <f t="shared" si="2"/>
        <v>874,</v>
      </c>
    </row>
    <row r="88" spans="1:3" x14ac:dyDescent="0.25">
      <c r="A88" s="96">
        <v>875</v>
      </c>
      <c r="B88" s="103" t="s">
        <v>669</v>
      </c>
      <c r="C88" t="str">
        <f t="shared" si="2"/>
        <v>875,</v>
      </c>
    </row>
    <row r="89" spans="1:3" x14ac:dyDescent="0.25">
      <c r="A89" s="96">
        <v>877</v>
      </c>
      <c r="B89" s="103" t="s">
        <v>669</v>
      </c>
      <c r="C89" t="str">
        <f t="shared" si="2"/>
        <v>877,</v>
      </c>
    </row>
    <row r="90" spans="1:3" x14ac:dyDescent="0.25">
      <c r="A90" s="96">
        <v>878</v>
      </c>
      <c r="B90" s="103" t="s">
        <v>669</v>
      </c>
      <c r="C90" t="str">
        <f t="shared" si="2"/>
        <v>878,</v>
      </c>
    </row>
    <row r="91" spans="1:3" x14ac:dyDescent="0.25">
      <c r="A91" s="93">
        <v>881</v>
      </c>
      <c r="B91" s="103" t="s">
        <v>669</v>
      </c>
      <c r="C91" t="str">
        <f t="shared" si="2"/>
        <v>881,</v>
      </c>
    </row>
    <row r="92" spans="1:3" x14ac:dyDescent="0.25">
      <c r="A92" s="93">
        <v>882</v>
      </c>
      <c r="B92" s="103" t="s">
        <v>669</v>
      </c>
      <c r="C92" t="str">
        <f t="shared" si="2"/>
        <v>882,</v>
      </c>
    </row>
    <row r="93" spans="1:3" x14ac:dyDescent="0.25">
      <c r="A93" s="93">
        <v>884</v>
      </c>
      <c r="B93" s="103" t="s">
        <v>669</v>
      </c>
      <c r="C93" t="str">
        <f t="shared" si="2"/>
        <v>884,</v>
      </c>
    </row>
    <row r="94" spans="1:3" x14ac:dyDescent="0.25">
      <c r="A94" s="93">
        <v>885</v>
      </c>
      <c r="B94" s="103" t="s">
        <v>669</v>
      </c>
      <c r="C94" t="str">
        <f t="shared" si="2"/>
        <v>885,</v>
      </c>
    </row>
    <row r="95" spans="1:3" x14ac:dyDescent="0.25">
      <c r="A95" s="93">
        <v>887</v>
      </c>
      <c r="B95" s="103" t="s">
        <v>669</v>
      </c>
      <c r="C95" t="str">
        <f t="shared" si="2"/>
        <v>887,</v>
      </c>
    </row>
    <row r="96" spans="1:3" x14ac:dyDescent="0.25">
      <c r="A96" s="93">
        <v>888</v>
      </c>
      <c r="B96" s="103" t="s">
        <v>669</v>
      </c>
      <c r="C96" t="str">
        <f t="shared" si="2"/>
        <v>888,</v>
      </c>
    </row>
    <row r="97" spans="1:3" x14ac:dyDescent="0.25">
      <c r="A97" s="93">
        <v>893</v>
      </c>
      <c r="B97" s="103" t="s">
        <v>669</v>
      </c>
      <c r="C97" t="str">
        <f t="shared" si="2"/>
        <v>893,</v>
      </c>
    </row>
    <row r="98" spans="1:3" x14ac:dyDescent="0.25">
      <c r="A98" s="93">
        <v>894</v>
      </c>
      <c r="B98" s="103" t="s">
        <v>669</v>
      </c>
      <c r="C98" t="str">
        <f t="shared" si="2"/>
        <v>894,</v>
      </c>
    </row>
  </sheetData>
  <customSheetViews>
    <customSheetView guid="{7B976439-AAC9-41C3-BCF0-6D93775196CD}">
      <selection activeCell="D67" sqref="D67"/>
      <pageMargins left="0.511811024" right="0.511811024" top="0.78740157499999996" bottom="0.78740157499999996" header="0.31496062000000002" footer="0.31496062000000002"/>
      <pageSetup paperSize="9" orientation="portrait" r:id="rId1"/>
    </customSheetView>
    <customSheetView guid="{DFB7C661-5C1D-4491-B5BB-D24125818F62}" showPageBreaks="1">
      <selection activeCell="D67" sqref="D67"/>
      <pageMargins left="0.511811024" right="0.511811024" top="0.78740157499999996" bottom="0.78740157499999996" header="0.31496062000000002" footer="0.31496062000000002"/>
      <pageSetup paperSize="9" orientation="portrait" r:id="rId2"/>
    </customSheetView>
    <customSheetView guid="{52D4489E-F705-44D0-BDD7-2E61E89BBFE2}">
      <selection activeCell="D67" sqref="D67"/>
      <pageMargins left="0.511811024" right="0.511811024" top="0.78740157499999996" bottom="0.78740157499999996" header="0.31496062000000002" footer="0.31496062000000002"/>
      <pageSetup paperSize="9" orientation="portrait" r:id="rId3"/>
    </customSheetView>
    <customSheetView guid="{590CEBDA-E7AE-4D8D-8613-56208662CCA9}">
      <selection activeCell="D67" sqref="D67"/>
      <pageMargins left="0.511811024" right="0.511811024" top="0.78740157499999996" bottom="0.78740157499999996" header="0.31496062000000002" footer="0.31496062000000002"/>
      <pageSetup paperSize="9" orientation="portrait" r:id="rId4"/>
    </customSheetView>
    <customSheetView guid="{3BCABC4F-4072-4ED9-90CC-E9BE96773387}" showPageBreaks="1">
      <selection activeCell="D67" sqref="D67"/>
      <pageMargins left="0.511811024" right="0.511811024" top="0.78740157499999996" bottom="0.78740157499999996" header="0.31496062000000002" footer="0.31496062000000002"/>
      <pageSetup paperSize="9" orientation="portrait" r:id="rId5"/>
    </customSheetView>
    <customSheetView guid="{44627F90-111A-4938-A3EC-3F862F83F7D7}" showPageBreaks="1">
      <selection activeCell="D67" sqref="D67"/>
      <pageMargins left="0.511811024" right="0.511811024" top="0.78740157499999996" bottom="0.78740157499999996" header="0.31496062000000002" footer="0.31496062000000002"/>
      <pageSetup paperSize="9" orientation="portrait" r:id="rId6"/>
    </customSheetView>
    <customSheetView guid="{4AD023DC-4B9E-473F-AB98-4A1747DCD454}">
      <selection activeCell="D67" sqref="D67"/>
      <pageMargins left="0.511811024" right="0.511811024" top="0.78740157499999996" bottom="0.78740157499999996" header="0.31496062000000002" footer="0.31496062000000002"/>
      <pageSetup paperSize="9" orientation="portrait" r:id="rId7"/>
    </customSheetView>
    <customSheetView guid="{EA2840B9-4395-4F38-9C2E-B3C8A78F8E87}">
      <selection activeCell="D67" sqref="D67"/>
      <pageMargins left="0.511811024" right="0.511811024" top="0.78740157499999996" bottom="0.78740157499999996" header="0.31496062000000002" footer="0.31496062000000002"/>
      <pageSetup paperSize="9" orientation="portrait" r:id="rId8"/>
    </customSheetView>
    <customSheetView guid="{DAEEB123-9C5D-4BF0-8F09-E7DEBC62D826}" showPageBreaks="1">
      <selection activeCell="D67" sqref="D67"/>
      <pageMargins left="0.511811024" right="0.511811024" top="0.78740157499999996" bottom="0.78740157499999996" header="0.31496062000000002" footer="0.31496062000000002"/>
      <pageSetup paperSize="9" orientation="portrait" r:id="rId9"/>
    </customSheetView>
  </customSheetViews>
  <pageMargins left="0.511811024" right="0.511811024" top="0.78740157499999996" bottom="0.78740157499999996" header="0.31496062000000002" footer="0.31496062000000002"/>
  <pageSetup paperSize="9" orientation="portrait" r:id="rId10"/>
</worksheet>
</file>

<file path=xl/worksheets/wsSortMap1.xml><?xml version="1.0" encoding="utf-8"?>
<worksheetSortMap xmlns="http://schemas.microsoft.com/office/excel/2006/main">
  <rowSortMap ref="A2:XFD421" count="84">
    <row newVal="1" oldVal="169"/>
    <row newVal="4" oldVal="177"/>
    <row newVal="17" oldVal="166"/>
    <row newVal="27" oldVal="171"/>
    <row newVal="31" oldVal="165"/>
    <row newVal="36" oldVal="173"/>
    <row newVal="37" oldVal="167"/>
    <row newVal="38" oldVal="168"/>
    <row newVal="39" oldVal="350"/>
    <row newVal="46" oldVal="36"/>
    <row newVal="47" oldVal="161"/>
    <row newVal="57" oldVal="261"/>
    <row newVal="69" oldVal="379"/>
    <row newVal="71" oldVal="252"/>
    <row newVal="75" oldVal="316"/>
    <row newVal="78" oldVal="178"/>
    <row newVal="80" oldVal="335"/>
    <row newVal="82" oldVal="392"/>
    <row newVal="83" oldVal="113"/>
    <row newVal="86" oldVal="342"/>
    <row newVal="105" oldVal="139"/>
    <row newVal="113" oldVal="212"/>
    <row newVal="123" oldVal="405"/>
    <row newVal="139" oldVal="31"/>
    <row newVal="151" oldVal="47"/>
    <row newVal="155" oldVal="396"/>
    <row newVal="159" oldVal="354"/>
    <row newVal="161" oldVal="37"/>
    <row newVal="165" oldVal="288"/>
    <row newVal="166" oldVal="71"/>
    <row newVal="167" oldVal="273"/>
    <row newVal="168" oldVal="306"/>
    <row newVal="169" oldVal="78"/>
    <row newVal="171" oldVal="236"/>
    <row newVal="173" oldVal="190"/>
    <row newVal="177" oldVal="327"/>
    <row newVal="178" oldVal="403"/>
    <row newVal="179" oldVal="404"/>
    <row newVal="190" oldVal="27"/>
    <row newVal="197" oldVal="245"/>
    <row newVal="199" oldVal="204"/>
    <row newVal="204" oldVal="343"/>
    <row newVal="212" oldVal="199"/>
    <row newVal="217" oldVal="155"/>
    <row newVal="223" oldVal="17"/>
    <row newVal="227" oldVal="38"/>
    <row newVal="236" oldVal="82"/>
    <row newVal="239" oldVal="420"/>
    <row newVal="245" oldVal="123"/>
    <row newVal="252" oldVal="263"/>
    <row newVal="261" oldVal="57"/>
    <row newVal="263" oldVal="86"/>
    <row newVal="272" oldVal="363"/>
    <row newVal="273" oldVal="179"/>
    <row newVal="274" oldVal="313"/>
    <row newVal="288" oldVal="314"/>
    <row newVal="306" oldVal="322"/>
    <row newVal="310" oldVal="274"/>
    <row newVal="312" oldVal="197"/>
    <row newVal="313" oldVal="39"/>
    <row newVal="314" oldVal="46"/>
    <row newVal="316" oldVal="80"/>
    <row newVal="322" oldVal="418"/>
    <row newVal="327" oldVal="336"/>
    <row newVal="335" oldVal="75"/>
    <row newVal="336" oldVal="1"/>
    <row newVal="340" oldVal="105"/>
    <row newVal="342" oldVal="355"/>
    <row newVal="343" oldVal="370"/>
    <row newVal="350" oldVal="312"/>
    <row newVal="354" oldVal="383"/>
    <row newVal="355" oldVal="159"/>
    <row newVal="363" oldVal="310"/>
    <row newVal="370" oldVal="227"/>
    <row newVal="379" oldVal="272"/>
    <row newVal="383" oldVal="83"/>
    <row newVal="392" oldVal="419"/>
    <row newVal="396" oldVal="69"/>
    <row newVal="403" oldVal="4"/>
    <row newVal="404" oldVal="217"/>
    <row newVal="405" oldVal="340"/>
    <row newVal="418" oldVal="223"/>
    <row newVal="419" oldVal="151"/>
    <row newVal="420" oldVal="239"/>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vt:i4>
      </vt:variant>
    </vt:vector>
  </HeadingPairs>
  <TitlesOfParts>
    <vt:vector size="5" baseType="lpstr">
      <vt:lpstr>Controle Empresas</vt:lpstr>
      <vt:lpstr>Particularidade</vt:lpstr>
      <vt:lpstr>Planilha2</vt:lpstr>
      <vt:lpstr>Resumo</vt:lpstr>
      <vt:lpstr>Planilha1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Thiago Madeira</cp:lastModifiedBy>
  <cp:lastPrinted>2020-05-21T20:35:35Z</cp:lastPrinted>
  <dcterms:created xsi:type="dcterms:W3CDTF">2015-06-05T18:19:34Z</dcterms:created>
  <dcterms:modified xsi:type="dcterms:W3CDTF">2020-05-22T16:02:21Z</dcterms:modified>
</cp:coreProperties>
</file>